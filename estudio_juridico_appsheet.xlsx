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dientes" sheetId="1" state="visible" r:id="rId1"/>
    <sheet name="Vencimientos" sheetId="2" state="visible" r:id="rId2"/>
    <sheet name="Audiencias" sheetId="3" state="visible" r:id="rId3"/>
    <sheet name="Tareas" sheetId="4" state="visible" r:id="rId4"/>
    <sheet name="Actuaciones_Movimientos" sheetId="5" state="visible" r:id="rId5"/>
    <sheet name="Contactos" sheetId="6" state="visible" r:id="rId6"/>
    <sheet name="Comunicaciones_Mails" sheetId="7" state="visible" r:id="rId7"/>
    <sheet name="Calendario_Vista" sheetId="8" state="visible" r:id="rId8"/>
    <sheet name="Configuracion" sheetId="9" state="visible" r:id="rId9"/>
    <sheet name="Notas_para_AppSheet" sheetId="10" state="visible" r:id="rId10"/>
  </sheets>
  <definedNames>
    <definedName name="Lst_Fuero">Configuracion!$A$2:$A$6</definedName>
    <definedName name="Lst_Juzgado">Configuracion!$B$2:$B$6</definedName>
    <definedName name="Lst_Localidad">Configuracion!$C$2:$C$4</definedName>
    <definedName name="Lst_Instancia">Configuracion!$D$2:$D$3</definedName>
    <definedName name="Lst_Rol_Cliente">Configuracion!$E$2:$E$4</definedName>
    <definedName name="Lst_Estado_Procesal">Configuracion!$F$2:$F$9</definedName>
    <definedName name="Lst_Estado_Causa">Configuracion!$G$2:$G$5</definedName>
    <definedName name="Lst_Abogado">Configuracion!$H$2:$H$4</definedName>
    <definedName name="Lst_Honorarios_Estado">Configuracion!$I$2:$I$4</definedName>
    <definedName name="Lst_Tipo_Vencimiento">Configuracion!$J$2:$J$9</definedName>
    <definedName name="Lst_Estado_Vencimiento">Configuracion!$K$2:$K$4</definedName>
    <definedName name="Lst_Prioridad">Configuracion!$L$2:$L$4</definedName>
    <definedName name="Lst_Tipo_Audiencia">Configuracion!$M$2:$M$7</definedName>
    <definedName name="Lst_Modalidad">Configuracion!$N$2:$N$3</definedName>
    <definedName name="Lst_Estado_Audiencia">Configuracion!$O$2:$O$5</definedName>
    <definedName name="Lst_Estado_Tarea">Configuracion!$P$2:$P$4</definedName>
    <definedName name="Lst_Tipo_Movimiento">Configuracion!$Q$2:$Q$7</definedName>
    <definedName name="Lst_Tipo_Contacto">Configuracion!$R$2:$R$7</definedName>
    <definedName name="Lst_Tipo_Comunicacion">Configuracion!$S$2:$S$5</definedName>
    <definedName name="Lst_Estado_Envio">Configuracion!$T$2:$T$4</definedName>
    <definedName name="Lst_Si_No">Configuracion!$U$2:$U$3</definedName>
    <definedName name="Lst_Origen_Evento">Configuracion!$V$2:$V$4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HH:MM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  <xf numFmtId="166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color rgb="009C570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bl_Expedientes" displayName="tbl_Expedientes" ref="A1:S6" headerRowCount="1">
  <autoFilter ref="A1:S6"/>
  <tableColumns count="19">
    <tableColumn id="1" name="ID_Expediente"/>
    <tableColumn id="2" name="Caratula"/>
    <tableColumn id="3" name="N_Expediente"/>
    <tableColumn id="4" name="Fuero"/>
    <tableColumn id="5" name="Juzgado"/>
    <tableColumn id="6" name="Localidad"/>
    <tableColumn id="7" name="Instancia"/>
    <tableColumn id="8" name="Cliente_Patrocinado"/>
    <tableColumn id="9" name="Rol_Cliente"/>
    <tableColumn id="10" name="Parte_Contraria"/>
    <tableColumn id="11" name="Estado_Procesal"/>
    <tableColumn id="12" name="Estado_Causa"/>
    <tableColumn id="13" name="Fecha_Inicio"/>
    <tableColumn id="14" name="Fecha_Ultima_Actuacion"/>
    <tableColumn id="15" name="Abogado_Responsable"/>
    <tableColumn id="16" name="Link_MEV"/>
    <tableColumn id="17" name="Carpeta_Drive"/>
    <tableColumn id="18" name="Observaciones"/>
    <tableColumn id="19" name="Honorarios_Esta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Vencimientos" displayName="tbl_Vencimientos" ref="A1:K6" headerRowCount="1">
  <autoFilter ref="A1:K6"/>
  <tableColumns count="11">
    <tableColumn id="1" name="ID_Vencimiento"/>
    <tableColumn id="2" name="ID_Expediente"/>
    <tableColumn id="3" name="Tipo_Vencimiento"/>
    <tableColumn id="4" name="Fecha_Notificacion"/>
    <tableColumn id="5" name="Fecha_Vencimiento"/>
    <tableColumn id="6" name="Dias_Otorgados"/>
    <tableColumn id="7" name="Estado"/>
    <tableColumn id="8" name="Prioridad"/>
    <tableColumn id="9" name="Responsable"/>
    <tableColumn id="10" name="Dias_Recordatorio_Previo"/>
    <tableColumn id="11" name="Nota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Audiencias" displayName="tbl_Audiencias" ref="A1:J5" headerRowCount="1">
  <autoFilter ref="A1:J5"/>
  <tableColumns count="10">
    <tableColumn id="1" name="ID_Audiencia"/>
    <tableColumn id="2" name="ID_Expediente"/>
    <tableColumn id="3" name="Tipo_Audiencia"/>
    <tableColumn id="4" name="Fecha"/>
    <tableColumn id="5" name="Hora"/>
    <tableColumn id="6" name="Modalidad"/>
    <tableColumn id="7" name="Lugar_o_Link"/>
    <tableColumn id="8" name="Estado"/>
    <tableColumn id="9" name="Resultado"/>
    <tableColumn id="10" name="Notas_Preparac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Tareas" displayName="tbl_Tareas" ref="A1:I6" headerRowCount="1">
  <autoFilter ref="A1:I6"/>
  <tableColumns count="9">
    <tableColumn id="1" name="ID_Tarea"/>
    <tableColumn id="2" name="ID_Expediente"/>
    <tableColumn id="3" name="Descripcion"/>
    <tableColumn id="4" name="Fecha_Asignacion"/>
    <tableColumn id="5" name="Fecha_Limite"/>
    <tableColumn id="6" name="Responsable"/>
    <tableColumn id="7" name="Prioridad"/>
    <tableColumn id="8" name="Estado"/>
    <tableColumn id="9" name="Nota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Actuaciones" displayName="tbl_Actuaciones" ref="A1:F6" headerRowCount="1">
  <autoFilter ref="A1:F6"/>
  <tableColumns count="6">
    <tableColumn id="1" name="ID_Movimiento"/>
    <tableColumn id="2" name="ID_Expediente"/>
    <tableColumn id="3" name="Fecha"/>
    <tableColumn id="4" name="Tipo"/>
    <tableColumn id="5" name="Descripcion"/>
    <tableColumn id="6" name="Archivo_Adjunt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Contactos" displayName="tbl_Contactos" ref="A1:H7" headerRowCount="1">
  <autoFilter ref="A1:H7"/>
  <tableColumns count="8">
    <tableColumn id="1" name="ID_Contacto"/>
    <tableColumn id="2" name="Nombre_Completo"/>
    <tableColumn id="3" name="DNI"/>
    <tableColumn id="4" name="Tipo"/>
    <tableColumn id="5" name="Telefono"/>
    <tableColumn id="6" name="Email"/>
    <tableColumn id="7" name="Direccion"/>
    <tableColumn id="8" name="ID_Expediente_Relacionad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Comunicaciones" displayName="tbl_Comunicaciones" ref="A1:I4" headerRowCount="1">
  <autoFilter ref="A1:I4"/>
  <tableColumns count="9">
    <tableColumn id="1" name="ID_Comunicacion"/>
    <tableColumn id="2" name="ID_Expediente"/>
    <tableColumn id="3" name="Fecha"/>
    <tableColumn id="4" name="Tipo"/>
    <tableColumn id="5" name="Destinatario"/>
    <tableColumn id="6" name="Asunto"/>
    <tableColumn id="7" name="Cuerpo_Mensaje"/>
    <tableColumn id="8" name="Estado_Envio"/>
    <tableColumn id="9" name="Enviado_Por_Bo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Calendario" displayName="tbl_Calendario" ref="A1:H9" headerRowCount="1">
  <autoFilter ref="A1:H9"/>
  <tableColumns count="8">
    <tableColumn id="1" name="ID_Evento"/>
    <tableColumn id="2" name="Origen"/>
    <tableColumn id="3" name="ID_Origen"/>
    <tableColumn id="4" name="Titulo"/>
    <tableColumn id="5" name="Fecha"/>
    <tableColumn id="6" name="Hora"/>
    <tableColumn id="7" name="ID_Expediente"/>
    <tableColumn id="8" name="Color_Sugeri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  <col width="12" customWidth="1" min="3" max="3"/>
    <col width="12" customWidth="1" min="4" max="4"/>
    <col width="42" customWidth="1" min="5" max="5"/>
    <col width="11" customWidth="1" min="6" max="6"/>
    <col width="17" customWidth="1" min="7" max="7"/>
    <col width="26" customWidth="1" min="8" max="8"/>
    <col width="11" customWidth="1" min="9" max="9"/>
    <col width="38" customWidth="1" min="10" max="10"/>
    <col width="16" customWidth="1" min="11" max="11"/>
    <col width="12" customWidth="1" min="12" max="12"/>
    <col width="13" customWidth="1" min="13" max="13"/>
    <col width="20" customWidth="1" min="14" max="14"/>
    <col width="22" customWidth="1" min="15" max="15"/>
    <col width="38" customWidth="1" min="16" max="16"/>
    <col width="22" customWidth="1" min="17" max="17"/>
    <col width="55" customWidth="1" min="18" max="18"/>
    <col width="18" customWidth="1" min="19" max="19"/>
  </cols>
  <sheetData>
    <row r="1">
      <c r="A1" s="1" t="inlineStr">
        <is>
          <t>ID_Expediente</t>
        </is>
      </c>
      <c r="B1" s="1" t="inlineStr">
        <is>
          <t>Caratula</t>
        </is>
      </c>
      <c r="C1" s="1" t="inlineStr">
        <is>
          <t>N_Expediente</t>
        </is>
      </c>
      <c r="D1" s="1" t="inlineStr">
        <is>
          <t>Fuero</t>
        </is>
      </c>
      <c r="E1" s="1" t="inlineStr">
        <is>
          <t>Juzgado</t>
        </is>
      </c>
      <c r="F1" s="1" t="inlineStr">
        <is>
          <t>Localidad</t>
        </is>
      </c>
      <c r="G1" s="1" t="inlineStr">
        <is>
          <t>Instancia</t>
        </is>
      </c>
      <c r="H1" s="1" t="inlineStr">
        <is>
          <t>Cliente_Patrocinado</t>
        </is>
      </c>
      <c r="I1" s="1" t="inlineStr">
        <is>
          <t>Rol_Cliente</t>
        </is>
      </c>
      <c r="J1" s="1" t="inlineStr">
        <is>
          <t>Parte_Contraria</t>
        </is>
      </c>
      <c r="K1" s="1" t="inlineStr">
        <is>
          <t>Estado_Procesal</t>
        </is>
      </c>
      <c r="L1" s="1" t="inlineStr">
        <is>
          <t>Estado_Causa</t>
        </is>
      </c>
      <c r="M1" s="1" t="inlineStr">
        <is>
          <t>Fecha_Inicio</t>
        </is>
      </c>
      <c r="N1" s="1" t="inlineStr">
        <is>
          <t>Fecha_Ultima_Actuacion</t>
        </is>
      </c>
      <c r="O1" s="1" t="inlineStr">
        <is>
          <t>Abogado_Responsable</t>
        </is>
      </c>
      <c r="P1" s="1" t="inlineStr">
        <is>
          <t>Link_MEV</t>
        </is>
      </c>
      <c r="Q1" s="1" t="inlineStr">
        <is>
          <t>Carpeta_Drive</t>
        </is>
      </c>
      <c r="R1" s="1" t="inlineStr">
        <is>
          <t>Observaciones</t>
        </is>
      </c>
      <c r="S1" s="1" t="inlineStr">
        <is>
          <t>Honorarios_Estado</t>
        </is>
      </c>
    </row>
    <row r="2">
      <c r="A2" t="inlineStr">
        <is>
          <t>EXP-0001</t>
        </is>
      </c>
      <c r="B2" t="inlineStr">
        <is>
          <t>CENTURIÓN, MARÍA SOLEDAD C/ ROMERO, JORGE DANIEL S/ ALIMENTOS</t>
        </is>
      </c>
      <c r="C2" t="inlineStr">
        <is>
          <t>8452/2026</t>
        </is>
      </c>
      <c r="D2" t="inlineStr">
        <is>
          <t>Familia</t>
        </is>
      </c>
      <c r="E2" t="inlineStr">
        <is>
          <t>Juzgado de Familia Victoria - Dr. Lloveras</t>
        </is>
      </c>
      <c r="F2" t="inlineStr">
        <is>
          <t>Victoria</t>
        </is>
      </c>
      <c r="G2" t="inlineStr">
        <is>
          <t>Primera Instancia</t>
        </is>
      </c>
      <c r="H2" t="inlineStr">
        <is>
          <t>María Soledad Centurión</t>
        </is>
      </c>
      <c r="I2" t="inlineStr">
        <is>
          <t>Actor</t>
        </is>
      </c>
      <c r="J2" t="inlineStr">
        <is>
          <t>Jorge Daniel Romero</t>
        </is>
      </c>
      <c r="K2" t="inlineStr">
        <is>
          <t>Prueba</t>
        </is>
      </c>
      <c r="L2" t="inlineStr">
        <is>
          <t>Activa</t>
        </is>
      </c>
      <c r="M2" s="2" t="n">
        <v>46063</v>
      </c>
      <c r="N2" s="2" t="n">
        <v>46198</v>
      </c>
      <c r="O2" t="inlineStr">
        <is>
          <t>Fernando Martín Juárez</t>
        </is>
      </c>
      <c r="P2" t="inlineStr">
        <is>
          <t>https://mev.jusentrerios.gov.ar/exp/8452-2026</t>
        </is>
      </c>
      <c r="Q2" t="inlineStr"/>
      <c r="R2" t="inlineStr">
        <is>
          <t>Alimentos a favor de dos hijos menores; se pidió cuota provisoria.</t>
        </is>
      </c>
      <c r="S2" t="inlineStr">
        <is>
          <t>Cuota Litis</t>
        </is>
      </c>
    </row>
    <row r="3">
      <c r="A3" t="inlineStr">
        <is>
          <t>EXP-0002</t>
        </is>
      </c>
      <c r="B3" t="inlineStr">
        <is>
          <t>GÓMEZ, WALTER ARIEL C/ FRIGORÍFICO DEL LITORAL S.A. S/ COBRO DE PESOS - DESPIDO</t>
        </is>
      </c>
      <c r="C3" t="inlineStr">
        <is>
          <t>3311/2025</t>
        </is>
      </c>
      <c r="D3" t="inlineStr">
        <is>
          <t>Laboral</t>
        </is>
      </c>
      <c r="E3" t="inlineStr">
        <is>
          <t>Secretaría de Trabajo ER</t>
        </is>
      </c>
      <c r="F3" t="inlineStr">
        <is>
          <t>Paraná</t>
        </is>
      </c>
      <c r="G3" t="inlineStr">
        <is>
          <t>Primera Instancia</t>
        </is>
      </c>
      <c r="H3" t="inlineStr">
        <is>
          <t>Walter Ariel Gómez</t>
        </is>
      </c>
      <c r="I3" t="inlineStr">
        <is>
          <t>Actor</t>
        </is>
      </c>
      <c r="J3" t="inlineStr">
        <is>
          <t>Frigorífico del Litoral S.A.</t>
        </is>
      </c>
      <c r="K3" t="inlineStr">
        <is>
          <t>Contestación</t>
        </is>
      </c>
      <c r="L3" t="inlineStr">
        <is>
          <t>Activa</t>
        </is>
      </c>
      <c r="M3" s="2" t="n">
        <v>45979</v>
      </c>
      <c r="N3" s="2" t="n">
        <v>46193</v>
      </c>
      <c r="O3" t="inlineStr">
        <is>
          <t>Fernando Martín Juárez</t>
        </is>
      </c>
      <c r="P3" t="inlineStr"/>
      <c r="Q3" t="inlineStr"/>
      <c r="R3" t="inlineStr">
        <is>
          <t>Despido indirecto; diferencias salariales y art. 80 LCT.</t>
        </is>
      </c>
      <c r="S3" t="inlineStr">
        <is>
          <t>Pactado</t>
        </is>
      </c>
    </row>
    <row r="4">
      <c r="A4" t="inlineStr">
        <is>
          <t>EXP-0003</t>
        </is>
      </c>
      <c r="B4" t="inlineStr">
        <is>
          <t>PÉREZ, LUCIANA C/ TRANSPORTES VICTORIA S.R.L. Y OTRO S/ DAÑOS Y PERJUICIOS</t>
        </is>
      </c>
      <c r="C4" t="inlineStr">
        <is>
          <t>5120/2025</t>
        </is>
      </c>
      <c r="D4" t="inlineStr">
        <is>
          <t>Civil-Daños</t>
        </is>
      </c>
      <c r="E4" t="inlineStr">
        <is>
          <t>Juzgado Civil y Comercial Victoria - Dr. Márquez</t>
        </is>
      </c>
      <c r="F4" t="inlineStr">
        <is>
          <t>Victoria</t>
        </is>
      </c>
      <c r="G4" t="inlineStr">
        <is>
          <t>Primera Instancia</t>
        </is>
      </c>
      <c r="H4" t="inlineStr">
        <is>
          <t>Luciana Pérez</t>
        </is>
      </c>
      <c r="I4" t="inlineStr">
        <is>
          <t>Actor</t>
        </is>
      </c>
      <c r="J4" t="inlineStr">
        <is>
          <t>Transportes Victoria S.R.L. / La Segunda Seguros</t>
        </is>
      </c>
      <c r="K4" t="inlineStr">
        <is>
          <t>Prueba</t>
        </is>
      </c>
      <c r="L4" t="inlineStr">
        <is>
          <t>Activa</t>
        </is>
      </c>
      <c r="M4" s="2" t="n">
        <v>45902</v>
      </c>
      <c r="N4" s="2" t="n">
        <v>46202</v>
      </c>
      <c r="O4" t="inlineStr">
        <is>
          <t>Fernando Martín Juárez</t>
        </is>
      </c>
      <c r="P4" t="inlineStr"/>
      <c r="Q4" t="inlineStr"/>
      <c r="R4" t="inlineStr">
        <is>
          <t>Accidente de tránsito ruta 11; lesiones leves, citada en garantía la aseguradora.</t>
        </is>
      </c>
      <c r="S4" t="inlineStr">
        <is>
          <t>Cuota Litis</t>
        </is>
      </c>
    </row>
    <row r="5">
      <c r="A5" t="inlineStr">
        <is>
          <t>EXP-0004</t>
        </is>
      </c>
      <c r="B5" t="inlineStr">
        <is>
          <t>FERNÁNDEZ, RAMÓN ANTONIO S/ SUCESORIO AB INTESTATO</t>
        </is>
      </c>
      <c r="C5" t="inlineStr">
        <is>
          <t>7789/2026</t>
        </is>
      </c>
      <c r="D5" t="inlineStr">
        <is>
          <t>Sucesiones</t>
        </is>
      </c>
      <c r="E5" t="inlineStr">
        <is>
          <t>Juzgado Civil y Comercial Victoria - Dr. Márquez</t>
        </is>
      </c>
      <c r="F5" t="inlineStr">
        <is>
          <t>Victoria</t>
        </is>
      </c>
      <c r="G5" t="inlineStr">
        <is>
          <t>Primera Instancia</t>
        </is>
      </c>
      <c r="H5" t="inlineStr">
        <is>
          <t>Marta Fernández (heredera)</t>
        </is>
      </c>
      <c r="I5" t="inlineStr">
        <is>
          <t>Actor</t>
        </is>
      </c>
      <c r="J5" t="inlineStr"/>
      <c r="K5" t="inlineStr">
        <is>
          <t>Inicio</t>
        </is>
      </c>
      <c r="L5" t="inlineStr">
        <is>
          <t>Activa</t>
        </is>
      </c>
      <c r="M5" s="2" t="n">
        <v>46162</v>
      </c>
      <c r="N5" s="2" t="n">
        <v>46185</v>
      </c>
      <c r="O5" t="inlineStr">
        <is>
          <t>Fernando Martín Juárez</t>
        </is>
      </c>
      <c r="P5" t="inlineStr"/>
      <c r="Q5" t="inlineStr"/>
      <c r="R5" t="inlineStr">
        <is>
          <t>Declaratoria de herederos; falta partida de defunción legalizada.</t>
        </is>
      </c>
      <c r="S5" t="inlineStr">
        <is>
          <t>Pendiente de cobro</t>
        </is>
      </c>
    </row>
    <row r="6">
      <c r="A6" t="inlineStr">
        <is>
          <t>EXP-0005</t>
        </is>
      </c>
      <c r="B6" t="inlineStr">
        <is>
          <t>LÓPEZ, ANA BEATRIZ C/ OSDE S/ ACCIÓN DE AMPARO (SALUD)</t>
        </is>
      </c>
      <c r="C6" t="inlineStr">
        <is>
          <t>1044/2026</t>
        </is>
      </c>
      <c r="D6" t="inlineStr">
        <is>
          <t>Salud</t>
        </is>
      </c>
      <c r="E6" t="inlineStr">
        <is>
          <t>Cámara Civil y Comercial Sala 3 Paraná</t>
        </is>
      </c>
      <c r="F6" t="inlineStr">
        <is>
          <t>Paraná</t>
        </is>
      </c>
      <c r="G6" t="inlineStr">
        <is>
          <t>Cámara</t>
        </is>
      </c>
      <c r="H6" t="inlineStr">
        <is>
          <t>Ana Beatriz López</t>
        </is>
      </c>
      <c r="I6" t="inlineStr">
        <is>
          <t>Actor</t>
        </is>
      </c>
      <c r="J6" t="inlineStr">
        <is>
          <t>OSDE</t>
        </is>
      </c>
      <c r="K6" t="inlineStr">
        <is>
          <t>Apelación</t>
        </is>
      </c>
      <c r="L6" t="inlineStr">
        <is>
          <t>Activa</t>
        </is>
      </c>
      <c r="M6" s="2" t="n">
        <v>46086</v>
      </c>
      <c r="N6" s="2" t="n">
        <v>46204</v>
      </c>
      <c r="O6" t="inlineStr">
        <is>
          <t>Fernando Martín Juárez</t>
        </is>
      </c>
      <c r="P6" t="inlineStr"/>
      <c r="Q6" t="inlineStr"/>
      <c r="R6" t="inlineStr">
        <is>
          <t>Cobertura de medicación oncológica; sentencia favorable apelada por la demandada.</t>
        </is>
      </c>
      <c r="S6" t="inlineStr">
        <is>
          <t>Pactado</t>
        </is>
      </c>
    </row>
  </sheetData>
  <dataValidations count="9">
    <dataValidation sqref="D2:D500" showDropDown="0" showInputMessage="0" showErrorMessage="0" allowBlank="1" errorTitle="Valor inválido" error="Elegí un valor de la lista desplegable." type="list">
      <formula1>=Lst_Fuero</formula1>
    </dataValidation>
    <dataValidation sqref="E2:E500" showDropDown="0" showInputMessage="0" showErrorMessage="0" allowBlank="1" errorTitle="Valor inválido" error="Elegí un valor de la lista desplegable." type="list">
      <formula1>=Lst_Juzgado</formula1>
    </dataValidation>
    <dataValidation sqref="F2:F500" showDropDown="0" showInputMessage="0" showErrorMessage="0" allowBlank="1" errorTitle="Valor inválido" error="Elegí un valor de la lista desplegable." type="list">
      <formula1>=Lst_Localidad</formula1>
    </dataValidation>
    <dataValidation sqref="G2:G500" showDropDown="0" showInputMessage="0" showErrorMessage="0" allowBlank="1" errorTitle="Valor inválido" error="Elegí un valor de la lista desplegable." type="list">
      <formula1>=Lst_Instancia</formula1>
    </dataValidation>
    <dataValidation sqref="I2:I500" showDropDown="0" showInputMessage="0" showErrorMessage="0" allowBlank="1" errorTitle="Valor inválido" error="Elegí un valor de la lista desplegable." type="list">
      <formula1>=Lst_Rol_Cliente</formula1>
    </dataValidation>
    <dataValidation sqref="K2:K500" showDropDown="0" showInputMessage="0" showErrorMessage="0" allowBlank="1" errorTitle="Valor inválido" error="Elegí un valor de la lista desplegable." type="list">
      <formula1>=Lst_Estado_Procesal</formula1>
    </dataValidation>
    <dataValidation sqref="L2:L500" showDropDown="0" showInputMessage="0" showErrorMessage="0" allowBlank="1" errorTitle="Valor inválido" error="Elegí un valor de la lista desplegable." type="list">
      <formula1>=Lst_Estado_Causa</formula1>
    </dataValidation>
    <dataValidation sqref="O2:O500" showDropDown="0" showInputMessage="0" showErrorMessage="0" allowBlank="1" errorTitle="Valor inválido" error="Elegí un valor de la lista desplegable." type="list">
      <formula1>=Lst_Abogado</formula1>
    </dataValidation>
    <dataValidation sqref="S2:S500" showDropDown="0" showInputMessage="0" showErrorMessage="0" allowBlank="1" errorTitle="Valor inválido" error="Elegí un valor de la lista desplegable." type="list">
      <formula1>=Lst_Honorarios_Estado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2" customWidth="1" min="3" max="3"/>
    <col width="17" customWidth="1" min="4" max="4"/>
    <col width="17" customWidth="1" min="5" max="5"/>
    <col width="14" customWidth="1" min="6" max="6"/>
    <col width="12" customWidth="1" min="7" max="7"/>
    <col width="11" customWidth="1" min="8" max="8"/>
    <col width="24" customWidth="1" min="9" max="9"/>
    <col width="22" customWidth="1" min="10" max="10"/>
    <col width="60" customWidth="1" min="11" max="11"/>
  </cols>
  <sheetData>
    <row r="1">
      <c r="A1" s="1" t="inlineStr">
        <is>
          <t>ID_Vencimiento</t>
        </is>
      </c>
      <c r="B1" s="1" t="inlineStr">
        <is>
          <t>ID_Expediente</t>
        </is>
      </c>
      <c r="C1" s="1" t="inlineStr">
        <is>
          <t>Tipo_Vencimiento</t>
        </is>
      </c>
      <c r="D1" s="1" t="inlineStr">
        <is>
          <t>Fecha_Notificacion</t>
        </is>
      </c>
      <c r="E1" s="1" t="inlineStr">
        <is>
          <t>Fecha_Vencimiento</t>
        </is>
      </c>
      <c r="F1" s="1" t="inlineStr">
        <is>
          <t>Dias_Otorgados</t>
        </is>
      </c>
      <c r="G1" s="1" t="inlineStr">
        <is>
          <t>Estado</t>
        </is>
      </c>
      <c r="H1" s="1" t="inlineStr">
        <is>
          <t>Prioridad</t>
        </is>
      </c>
      <c r="I1" s="1" t="inlineStr">
        <is>
          <t>Responsable</t>
        </is>
      </c>
      <c r="J1" s="1" t="inlineStr">
        <is>
          <t>Dias_Recordatorio_Previo</t>
        </is>
      </c>
      <c r="K1" s="1" t="inlineStr">
        <is>
          <t>Notas</t>
        </is>
      </c>
    </row>
    <row r="2">
      <c r="A2" t="inlineStr">
        <is>
          <t>VTO-0001</t>
        </is>
      </c>
      <c r="B2" t="inlineStr">
        <is>
          <t>EXP-0002</t>
        </is>
      </c>
      <c r="C2" t="inlineStr">
        <is>
          <t>Contestar traslado</t>
        </is>
      </c>
      <c r="D2" s="2" t="n">
        <v>46195</v>
      </c>
      <c r="E2" s="2" t="n">
        <v>46203</v>
      </c>
      <c r="F2" t="n">
        <v>5</v>
      </c>
      <c r="G2" t="inlineStr">
        <is>
          <t>Pendiente</t>
        </is>
      </c>
      <c r="H2" t="inlineStr">
        <is>
          <t>Alta</t>
        </is>
      </c>
      <c r="I2" t="inlineStr">
        <is>
          <t>Fernando Martín Juárez</t>
        </is>
      </c>
      <c r="J2" t="n">
        <v>3</v>
      </c>
      <c r="K2" t="inlineStr">
        <is>
          <t>Traslado de la liquidación practicada por la demandada. ¡VENCIDO!</t>
        </is>
      </c>
    </row>
    <row r="3">
      <c r="A3" t="inlineStr">
        <is>
          <t>VTO-0002</t>
        </is>
      </c>
      <c r="B3" t="inlineStr">
        <is>
          <t>EXP-0001</t>
        </is>
      </c>
      <c r="C3" t="inlineStr">
        <is>
          <t>Ofrecer prueba</t>
        </is>
      </c>
      <c r="D3" s="2" t="n">
        <v>46200</v>
      </c>
      <c r="E3" s="2" t="n">
        <v>46208</v>
      </c>
      <c r="F3" t="n">
        <v>10</v>
      </c>
      <c r="G3" t="inlineStr">
        <is>
          <t>Pendiente</t>
        </is>
      </c>
      <c r="H3" t="inlineStr">
        <is>
          <t>Alta</t>
        </is>
      </c>
      <c r="I3" t="inlineStr">
        <is>
          <t>Fernando Martín Juárez</t>
        </is>
      </c>
      <c r="J3" t="n">
        <v>3</v>
      </c>
      <c r="K3" t="inlineStr">
        <is>
          <t>Vence el ofrecimiento de prueba en alimentos; testigos ya confirmados.</t>
        </is>
      </c>
    </row>
    <row r="4">
      <c r="A4" t="inlineStr">
        <is>
          <t>VTO-0003</t>
        </is>
      </c>
      <c r="B4" t="inlineStr">
        <is>
          <t>EXP-0005</t>
        </is>
      </c>
      <c r="C4" t="inlineStr">
        <is>
          <t>Expresar agravios</t>
        </is>
      </c>
      <c r="D4" s="2" t="n">
        <v>46204</v>
      </c>
      <c r="E4" s="2" t="n">
        <v>46214</v>
      </c>
      <c r="F4" t="n">
        <v>10</v>
      </c>
      <c r="G4" t="inlineStr">
        <is>
          <t>Pendiente</t>
        </is>
      </c>
      <c r="H4" t="inlineStr">
        <is>
          <t>Alta</t>
        </is>
      </c>
      <c r="I4" t="inlineStr">
        <is>
          <t>Fernando Martín Juárez</t>
        </is>
      </c>
      <c r="J4" t="n">
        <v>5</v>
      </c>
      <c r="K4" t="inlineStr">
        <is>
          <t>Contestar los agravios de OSDE ante la Cámara.</t>
        </is>
      </c>
    </row>
    <row r="5">
      <c r="A5" t="inlineStr">
        <is>
          <t>VTO-0004</t>
        </is>
      </c>
      <c r="B5" t="inlineStr">
        <is>
          <t>EXP-0003</t>
        </is>
      </c>
      <c r="C5" t="inlineStr">
        <is>
          <t>Contestar demanda</t>
        </is>
      </c>
      <c r="D5" s="2" t="n">
        <v>45931</v>
      </c>
      <c r="E5" s="2" t="n">
        <v>45946</v>
      </c>
      <c r="F5" t="n">
        <v>15</v>
      </c>
      <c r="G5" t="inlineStr">
        <is>
          <t>Cumplido</t>
        </is>
      </c>
      <c r="H5" t="inlineStr">
        <is>
          <t>Media</t>
        </is>
      </c>
      <c r="I5" t="inlineStr">
        <is>
          <t>Fernando Martín Juárez</t>
        </is>
      </c>
      <c r="J5" t="n">
        <v>3</v>
      </c>
      <c r="K5" t="inlineStr">
        <is>
          <t>Contestada en término por la citada en garantía.</t>
        </is>
      </c>
    </row>
    <row r="6">
      <c r="A6" t="inlineStr">
        <is>
          <t>VTO-0005</t>
        </is>
      </c>
      <c r="B6" t="inlineStr">
        <is>
          <t>EXP-0004</t>
        </is>
      </c>
      <c r="C6" t="inlineStr">
        <is>
          <t>Cumplir intimación</t>
        </is>
      </c>
      <c r="D6" s="2" t="n">
        <v>46190</v>
      </c>
      <c r="E6" s="2" t="n">
        <v>46225</v>
      </c>
      <c r="F6" t="n">
        <v>30</v>
      </c>
      <c r="G6" t="inlineStr">
        <is>
          <t>Pendiente</t>
        </is>
      </c>
      <c r="H6" t="inlineStr">
        <is>
          <t>Baja</t>
        </is>
      </c>
      <c r="I6" t="inlineStr">
        <is>
          <t>Fernando Martín Juárez</t>
        </is>
      </c>
      <c r="J6" t="n">
        <v>5</v>
      </c>
      <c r="K6" t="inlineStr">
        <is>
          <t>Acompañar partida de defunción legalizada bajo apercibimiento de archivo.</t>
        </is>
      </c>
    </row>
  </sheetData>
  <conditionalFormatting sqref="A2:K500">
    <cfRule type="expression" priority="1" dxfId="0" stopIfTrue="1">
      <formula>$G2="Cumplido"</formula>
    </cfRule>
    <cfRule type="expression" priority="2" dxfId="1" stopIfTrue="1">
      <formula>AND($E2&lt;&gt;"",$E2&lt;TODAY(),$G2&lt;&gt;"Cumplido")</formula>
    </cfRule>
    <cfRule type="expression" priority="3" dxfId="2" stopIfTrue="1">
      <formula>AND($E2&lt;&gt;"",$E2&gt;=TODAY(),$E2&lt;=TODAY()+5,$G2&lt;&gt;"Cumplido")</formula>
    </cfRule>
  </conditionalFormatting>
  <dataValidations count="3">
    <dataValidation sqref="C2:C500" showDropDown="0" showInputMessage="0" showErrorMessage="0" allowBlank="1" errorTitle="Valor inválido" error="Elegí un valor de la lista desplegable." type="list">
      <formula1>=Lst_Tipo_Vencimiento</formula1>
    </dataValidation>
    <dataValidation sqref="G2:G500" showDropDown="0" showInputMessage="0" showErrorMessage="0" allowBlank="1" errorTitle="Valor inválido" error="Elegí un valor de la lista desplegable." type="list">
      <formula1>=Lst_Estado_Vencimiento</formula1>
    </dataValidation>
    <dataValidation sqref="H2:H500" showDropDown="0" showInputMessage="0" showErrorMessage="0" allowBlank="1" errorTitle="Valor inválido" error="Elegí un valor de la lista desplegable." type="list">
      <formula1>=Lst_Prioridad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2" customWidth="1" min="4" max="4"/>
    <col width="8" customWidth="1" min="5" max="5"/>
    <col width="12" customWidth="1" min="6" max="6"/>
    <col width="46" customWidth="1" min="7" max="7"/>
    <col width="14" customWidth="1" min="8" max="8"/>
    <col width="45" customWidth="1" min="9" max="9"/>
    <col width="55" customWidth="1" min="10" max="10"/>
  </cols>
  <sheetData>
    <row r="1">
      <c r="A1" s="1" t="inlineStr">
        <is>
          <t>ID_Audiencia</t>
        </is>
      </c>
      <c r="B1" s="1" t="inlineStr">
        <is>
          <t>ID_Expediente</t>
        </is>
      </c>
      <c r="C1" s="1" t="inlineStr">
        <is>
          <t>Tipo_Audiencia</t>
        </is>
      </c>
      <c r="D1" s="1" t="inlineStr">
        <is>
          <t>Fecha</t>
        </is>
      </c>
      <c r="E1" s="1" t="inlineStr">
        <is>
          <t>Hora</t>
        </is>
      </c>
      <c r="F1" s="1" t="inlineStr">
        <is>
          <t>Modalidad</t>
        </is>
      </c>
      <c r="G1" s="1" t="inlineStr">
        <is>
          <t>Lugar_o_Link</t>
        </is>
      </c>
      <c r="H1" s="1" t="inlineStr">
        <is>
          <t>Estado</t>
        </is>
      </c>
      <c r="I1" s="1" t="inlineStr">
        <is>
          <t>Resultado</t>
        </is>
      </c>
      <c r="J1" s="1" t="inlineStr">
        <is>
          <t>Notas_Preparacion</t>
        </is>
      </c>
    </row>
    <row r="2">
      <c r="A2" t="inlineStr">
        <is>
          <t>AUD-0001</t>
        </is>
      </c>
      <c r="B2" t="inlineStr">
        <is>
          <t>EXP-0001</t>
        </is>
      </c>
      <c r="C2" t="inlineStr">
        <is>
          <t>Conciliación</t>
        </is>
      </c>
      <c r="D2" s="2" t="n">
        <v>46206</v>
      </c>
      <c r="E2" s="3" t="n">
        <v>0.3958333333333333</v>
      </c>
      <c r="F2" t="inlineStr">
        <is>
          <t>Presencial</t>
        </is>
      </c>
      <c r="G2" t="inlineStr">
        <is>
          <t>Juzgado de Familia Victoria, calle Sarmiento 145</t>
        </is>
      </c>
      <c r="H2" t="inlineStr">
        <is>
          <t>Programada</t>
        </is>
      </c>
      <c r="I2" t="inlineStr"/>
      <c r="J2" t="inlineStr">
        <is>
          <t>Llevar propuesta de cuota alimentaria actualizada por IPC.</t>
        </is>
      </c>
    </row>
    <row r="3">
      <c r="A3" t="inlineStr">
        <is>
          <t>AUD-0002</t>
        </is>
      </c>
      <c r="B3" t="inlineStr">
        <is>
          <t>EXP-0002</t>
        </is>
      </c>
      <c r="C3" t="inlineStr">
        <is>
          <t>Vista de causa</t>
        </is>
      </c>
      <c r="D3" s="2" t="n">
        <v>46217</v>
      </c>
      <c r="E3" s="3" t="n">
        <v>0.4166666666666667</v>
      </c>
      <c r="F3" t="inlineStr">
        <is>
          <t>Presencial</t>
        </is>
      </c>
      <c r="G3" t="inlineStr">
        <is>
          <t>Secretaría de Trabajo ER, Paraná</t>
        </is>
      </c>
      <c r="H3" t="inlineStr">
        <is>
          <t>Programada</t>
        </is>
      </c>
      <c r="I3" t="inlineStr"/>
      <c r="J3" t="inlineStr">
        <is>
          <t>Citar a los dos testigos; repasar recibos de sueldo con el cliente.</t>
        </is>
      </c>
    </row>
    <row r="4">
      <c r="A4" t="inlineStr">
        <is>
          <t>AUD-0003</t>
        </is>
      </c>
      <c r="B4" t="inlineStr">
        <is>
          <t>EXP-0003</t>
        </is>
      </c>
      <c r="C4" t="inlineStr">
        <is>
          <t>Testimonial</t>
        </is>
      </c>
      <c r="D4" s="2" t="n">
        <v>46211</v>
      </c>
      <c r="E4" s="3" t="n">
        <v>0.3645833333333333</v>
      </c>
      <c r="F4" t="inlineStr">
        <is>
          <t>Virtual</t>
        </is>
      </c>
      <c r="G4" t="inlineStr">
        <is>
          <t>https://meet.google.com/abc-defg-hij</t>
        </is>
      </c>
      <c r="H4" t="inlineStr">
        <is>
          <t>Programada</t>
        </is>
      </c>
      <c r="I4" t="inlineStr"/>
      <c r="J4" t="inlineStr">
        <is>
          <t>Testigo ocular del accidente; preparar pliego de preguntas.</t>
        </is>
      </c>
    </row>
    <row r="5">
      <c r="A5" t="inlineStr">
        <is>
          <t>AUD-0004</t>
        </is>
      </c>
      <c r="B5" t="inlineStr">
        <is>
          <t>EXP-0001</t>
        </is>
      </c>
      <c r="C5" t="inlineStr">
        <is>
          <t>Mediación</t>
        </is>
      </c>
      <c r="D5" s="2" t="n">
        <v>46175</v>
      </c>
      <c r="E5" s="3" t="n">
        <v>0.4583333333333333</v>
      </c>
      <c r="F5" t="inlineStr">
        <is>
          <t>Presencial</t>
        </is>
      </c>
      <c r="G5" t="inlineStr">
        <is>
          <t>Centro de Mediación Victoria</t>
        </is>
      </c>
      <c r="H5" t="inlineStr">
        <is>
          <t>Realizada</t>
        </is>
      </c>
      <c r="I5" t="inlineStr">
        <is>
          <t>Sin acuerdo; se habilitó la vía judicial.</t>
        </is>
      </c>
      <c r="J5" t="inlineStr"/>
    </row>
  </sheetData>
  <dataValidations count="3">
    <dataValidation sqref="C2:C500" showDropDown="0" showInputMessage="0" showErrorMessage="0" allowBlank="1" errorTitle="Valor inválido" error="Elegí un valor de la lista desplegable." type="list">
      <formula1>=Lst_Tipo_Audiencia</formula1>
    </dataValidation>
    <dataValidation sqref="F2:F500" showDropDown="0" showInputMessage="0" showErrorMessage="0" allowBlank="1" errorTitle="Valor inválido" error="Elegí un valor de la lista desplegable." type="list">
      <formula1>=Lst_Modalidad</formula1>
    </dataValidation>
    <dataValidation sqref="H2:H500" showDropDown="0" showInputMessage="0" showErrorMessage="0" allowBlank="1" errorTitle="Valor inválido" error="Elegí un valor de la lista desplegable." type="list">
      <formula1>=Lst_Estado_Audiencia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2" customWidth="1" min="3" max="3"/>
    <col width="16" customWidth="1" min="4" max="4"/>
    <col width="13" customWidth="1" min="5" max="5"/>
    <col width="24" customWidth="1" min="6" max="6"/>
    <col width="11" customWidth="1" min="7" max="7"/>
    <col width="12" customWidth="1" min="8" max="8"/>
    <col width="50" customWidth="1" min="9" max="9"/>
  </cols>
  <sheetData>
    <row r="1">
      <c r="A1" s="1" t="inlineStr">
        <is>
          <t>ID_Tarea</t>
        </is>
      </c>
      <c r="B1" s="1" t="inlineStr">
        <is>
          <t>ID_Expediente</t>
        </is>
      </c>
      <c r="C1" s="1" t="inlineStr">
        <is>
          <t>Descripcion</t>
        </is>
      </c>
      <c r="D1" s="1" t="inlineStr">
        <is>
          <t>Fecha_Asignacion</t>
        </is>
      </c>
      <c r="E1" s="1" t="inlineStr">
        <is>
          <t>Fecha_Limite</t>
        </is>
      </c>
      <c r="F1" s="1" t="inlineStr">
        <is>
          <t>Responsable</t>
        </is>
      </c>
      <c r="G1" s="1" t="inlineStr">
        <is>
          <t>Prioridad</t>
        </is>
      </c>
      <c r="H1" s="1" t="inlineStr">
        <is>
          <t>Estado</t>
        </is>
      </c>
      <c r="I1" s="1" t="inlineStr">
        <is>
          <t>Notas</t>
        </is>
      </c>
    </row>
    <row r="2">
      <c r="A2" t="inlineStr">
        <is>
          <t>TAR-0001</t>
        </is>
      </c>
      <c r="B2" t="inlineStr">
        <is>
          <t>EXP-0004</t>
        </is>
      </c>
      <c r="C2" t="inlineStr">
        <is>
          <t>Tramitar partida de defunción legalizada en el Registro Civil</t>
        </is>
      </c>
      <c r="D2" s="2" t="n">
        <v>46195</v>
      </c>
      <c r="E2" s="2" t="n">
        <v>46215</v>
      </c>
      <c r="F2" t="inlineStr">
        <is>
          <t>Fernando Martín Juárez</t>
        </is>
      </c>
      <c r="G2" t="inlineStr">
        <is>
          <t>Media</t>
        </is>
      </c>
      <c r="H2" t="inlineStr">
        <is>
          <t>En curso</t>
        </is>
      </c>
      <c r="I2" t="inlineStr">
        <is>
          <t>El Registro Civil de Victoria demora ~7 días hábiles.</t>
        </is>
      </c>
    </row>
    <row r="3">
      <c r="A3" t="inlineStr">
        <is>
          <t>TAR-0002</t>
        </is>
      </c>
      <c r="B3" t="inlineStr">
        <is>
          <t>EXP-0002</t>
        </is>
      </c>
      <c r="C3" t="inlineStr">
        <is>
          <t>Redactar alegato sobre la prueba testimonial</t>
        </is>
      </c>
      <c r="D3" s="2" t="n">
        <v>46203</v>
      </c>
      <c r="E3" s="2" t="n">
        <v>46219</v>
      </c>
      <c r="F3" t="inlineStr">
        <is>
          <t>Fernando Martín Juárez</t>
        </is>
      </c>
      <c r="G3" t="inlineStr">
        <is>
          <t>Alta</t>
        </is>
      </c>
      <c r="H3" t="inlineStr">
        <is>
          <t>Pendiente</t>
        </is>
      </c>
      <c r="I3" t="inlineStr"/>
    </row>
    <row r="4">
      <c r="A4" t="inlineStr">
        <is>
          <t>TAR-0003</t>
        </is>
      </c>
      <c r="B4" t="inlineStr">
        <is>
          <t>EXP-0005</t>
        </is>
      </c>
      <c r="C4" t="inlineStr">
        <is>
          <t>Recopilar historia clínica actualizada y receta de la medicación</t>
        </is>
      </c>
      <c r="D4" s="2" t="n">
        <v>46200</v>
      </c>
      <c r="E4" s="2" t="n">
        <v>46209</v>
      </c>
      <c r="F4" t="inlineStr">
        <is>
          <t>Fernando Martín Juárez</t>
        </is>
      </c>
      <c r="G4" t="inlineStr">
        <is>
          <t>Alta</t>
        </is>
      </c>
      <c r="H4" t="inlineStr">
        <is>
          <t>En curso</t>
        </is>
      </c>
      <c r="I4" t="inlineStr">
        <is>
          <t>Pedir turno con la médica tratante de la clienta.</t>
        </is>
      </c>
    </row>
    <row r="5">
      <c r="A5" t="inlineStr">
        <is>
          <t>TAR-0004</t>
        </is>
      </c>
      <c r="B5" t="inlineStr"/>
      <c r="C5" t="inlineStr">
        <is>
          <t>Renovar matrícula y pagar cuota del Colegio de Abogados de Entre Ríos</t>
        </is>
      </c>
      <c r="D5" s="2" t="n">
        <v>46204</v>
      </c>
      <c r="E5" s="2" t="n">
        <v>46230</v>
      </c>
      <c r="F5" t="inlineStr">
        <is>
          <t>Fernando Martín Juárez</t>
        </is>
      </c>
      <c r="G5" t="inlineStr">
        <is>
          <t>Baja</t>
        </is>
      </c>
      <c r="H5" t="inlineStr">
        <is>
          <t>Pendiente</t>
        </is>
      </c>
      <c r="I5" t="inlineStr">
        <is>
          <t>Tarea general del estudio (sin expediente).</t>
        </is>
      </c>
    </row>
    <row r="6">
      <c r="A6" t="inlineStr">
        <is>
          <t>TAR-0005</t>
        </is>
      </c>
      <c r="B6" t="inlineStr">
        <is>
          <t>EXP-0003</t>
        </is>
      </c>
      <c r="C6" t="inlineStr">
        <is>
          <t>Impulsar pericia mecánica: dejar nota en secretaría</t>
        </is>
      </c>
      <c r="D6" s="2" t="n">
        <v>46185</v>
      </c>
      <c r="E6" s="2" t="n">
        <v>46199</v>
      </c>
      <c r="F6" t="inlineStr">
        <is>
          <t>Fernando Martín Juárez</t>
        </is>
      </c>
      <c r="G6" t="inlineStr">
        <is>
          <t>Media</t>
        </is>
      </c>
      <c r="H6" t="inlineStr">
        <is>
          <t>Completada</t>
        </is>
      </c>
      <c r="I6" t="inlineStr">
        <is>
          <t>Nota presentada; perito aceptó el cargo.</t>
        </is>
      </c>
    </row>
  </sheetData>
  <dataValidations count="2">
    <dataValidation sqref="G2:G500" showDropDown="0" showInputMessage="0" showErrorMessage="0" allowBlank="1" errorTitle="Valor inválido" error="Elegí un valor de la lista desplegable." type="list">
      <formula1>=Lst_Prioridad</formula1>
    </dataValidation>
    <dataValidation sqref="H2:H500" showDropDown="0" showInputMessage="0" showErrorMessage="0" allowBlank="1" errorTitle="Valor inválido" error="Elegí un valor de la lista desplegable." type="list">
      <formula1>=Lst_Estado_Tarea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0" customWidth="1" min="4" max="4"/>
    <col width="75" customWidth="1" min="5" max="5"/>
    <col width="20" customWidth="1" min="6" max="6"/>
  </cols>
  <sheetData>
    <row r="1">
      <c r="A1" s="1" t="inlineStr">
        <is>
          <t>ID_Movimiento</t>
        </is>
      </c>
      <c r="B1" s="1" t="inlineStr">
        <is>
          <t>ID_Expediente</t>
        </is>
      </c>
      <c r="C1" s="1" t="inlineStr">
        <is>
          <t>Fecha</t>
        </is>
      </c>
      <c r="D1" s="1" t="inlineStr">
        <is>
          <t>Tipo</t>
        </is>
      </c>
      <c r="E1" s="1" t="inlineStr">
        <is>
          <t>Descripcion</t>
        </is>
      </c>
      <c r="F1" s="1" t="inlineStr">
        <is>
          <t>Archivo_Adjunto</t>
        </is>
      </c>
    </row>
    <row r="2">
      <c r="A2" t="inlineStr">
        <is>
          <t>MOV-0001</t>
        </is>
      </c>
      <c r="B2" t="inlineStr">
        <is>
          <t>EXP-0001</t>
        </is>
      </c>
      <c r="C2" s="2" t="n">
        <v>46063</v>
      </c>
      <c r="D2" t="inlineStr">
        <is>
          <t>Escrito presentado</t>
        </is>
      </c>
      <c r="E2" t="inlineStr">
        <is>
          <t>Demanda de alimentos con beneficio de litigar sin gastos.</t>
        </is>
      </c>
      <c r="F2" t="inlineStr"/>
    </row>
    <row r="3">
      <c r="A3" t="inlineStr">
        <is>
          <t>MOV-0002</t>
        </is>
      </c>
      <c r="B3" t="inlineStr">
        <is>
          <t>EXP-0001</t>
        </is>
      </c>
      <c r="C3" s="2" t="n">
        <v>46198</v>
      </c>
      <c r="D3" t="inlineStr">
        <is>
          <t>Providencia</t>
        </is>
      </c>
      <c r="E3" t="inlineStr">
        <is>
          <t>Se fija cuota alimentaria provisoria del 25% de los haberes del demandado.</t>
        </is>
      </c>
      <c r="F3" t="inlineStr"/>
    </row>
    <row r="4">
      <c r="A4" t="inlineStr">
        <is>
          <t>MOV-0003</t>
        </is>
      </c>
      <c r="B4" t="inlineStr">
        <is>
          <t>EXP-0002</t>
        </is>
      </c>
      <c r="C4" s="2" t="n">
        <v>46193</v>
      </c>
      <c r="D4" t="inlineStr">
        <is>
          <t>Cédula</t>
        </is>
      </c>
      <c r="E4" t="inlineStr">
        <is>
          <t>Notificación del traslado de la liquidación.</t>
        </is>
      </c>
      <c r="F4" t="inlineStr"/>
    </row>
    <row r="5">
      <c r="A5" t="inlineStr">
        <is>
          <t>MOV-0004</t>
        </is>
      </c>
      <c r="B5" t="inlineStr">
        <is>
          <t>EXP-0003</t>
        </is>
      </c>
      <c r="C5" s="2" t="n">
        <v>46202</v>
      </c>
      <c r="D5" t="inlineStr">
        <is>
          <t>Oficio</t>
        </is>
      </c>
      <c r="E5" t="inlineStr">
        <is>
          <t>Oficio a la Comisaría 2ª de Victoria solicitando copia del acta del accidente.</t>
        </is>
      </c>
      <c r="F5" t="inlineStr"/>
    </row>
    <row r="6">
      <c r="A6" t="inlineStr">
        <is>
          <t>MOV-0005</t>
        </is>
      </c>
      <c r="B6" t="inlineStr">
        <is>
          <t>EXP-0005</t>
        </is>
      </c>
      <c r="C6" s="2" t="n">
        <v>46204</v>
      </c>
      <c r="D6" t="inlineStr">
        <is>
          <t>Resolución</t>
        </is>
      </c>
      <c r="E6" t="inlineStr">
        <is>
          <t>Se concede el recurso de apelación de OSDE en relación y con efecto devolutivo.</t>
        </is>
      </c>
      <c r="F6" t="inlineStr"/>
    </row>
  </sheetData>
  <dataValidations count="1">
    <dataValidation sqref="D2:D500" showDropDown="0" showInputMessage="0" showErrorMessage="0" allowBlank="1" errorTitle="Valor inválido" error="Elegí un valor de la lista desplegable." type="list">
      <formula1>=Lst_Tipo_Movimiento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11" customWidth="1" min="3" max="3"/>
    <col width="18" customWidth="1" min="4" max="4"/>
    <col width="20" customWidth="1" min="5" max="5"/>
    <col width="30" customWidth="1" min="6" max="6"/>
    <col width="34" customWidth="1" min="7" max="7"/>
    <col width="24" customWidth="1" min="8" max="8"/>
  </cols>
  <sheetData>
    <row r="1">
      <c r="A1" s="1" t="inlineStr">
        <is>
          <t>ID_Contacto</t>
        </is>
      </c>
      <c r="B1" s="1" t="inlineStr">
        <is>
          <t>Nombre_Completo</t>
        </is>
      </c>
      <c r="C1" s="1" t="inlineStr">
        <is>
          <t>DNI</t>
        </is>
      </c>
      <c r="D1" s="1" t="inlineStr">
        <is>
          <t>Tipo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Direccion</t>
        </is>
      </c>
      <c r="H1" s="1" t="inlineStr">
        <is>
          <t>ID_Expediente_Relacionado</t>
        </is>
      </c>
    </row>
    <row r="2">
      <c r="A2" t="inlineStr">
        <is>
          <t>CON-0001</t>
        </is>
      </c>
      <c r="B2" t="inlineStr">
        <is>
          <t>María Soledad Centurión</t>
        </is>
      </c>
      <c r="C2" t="inlineStr">
        <is>
          <t>32456789</t>
        </is>
      </c>
      <c r="D2" t="inlineStr">
        <is>
          <t>Cliente</t>
        </is>
      </c>
      <c r="E2" t="inlineStr">
        <is>
          <t>+54 9 3436 55-1234</t>
        </is>
      </c>
      <c r="F2" t="inlineStr">
        <is>
          <t>msol.centurion@gmail.com</t>
        </is>
      </c>
      <c r="G2" t="inlineStr">
        <is>
          <t>Bv. Sarmiento 234, Victoria, ER</t>
        </is>
      </c>
      <c r="H2" t="inlineStr">
        <is>
          <t>EXP-0001</t>
        </is>
      </c>
    </row>
    <row r="3">
      <c r="A3" t="inlineStr">
        <is>
          <t>CON-0002</t>
        </is>
      </c>
      <c r="B3" t="inlineStr">
        <is>
          <t>Walter Ariel Gómez</t>
        </is>
      </c>
      <c r="C3" t="inlineStr">
        <is>
          <t>28901234</t>
        </is>
      </c>
      <c r="D3" t="inlineStr">
        <is>
          <t>Cliente</t>
        </is>
      </c>
      <c r="E3" t="inlineStr">
        <is>
          <t>+54 9 343 555-6789</t>
        </is>
      </c>
      <c r="F3" t="inlineStr">
        <is>
          <t>walter.gomez78@hotmail.com</t>
        </is>
      </c>
      <c r="G3" t="inlineStr">
        <is>
          <t>Los Ceibos 1120, Paraná, ER</t>
        </is>
      </c>
      <c r="H3" t="inlineStr">
        <is>
          <t>EXP-0002</t>
        </is>
      </c>
    </row>
    <row r="4">
      <c r="A4" t="inlineStr">
        <is>
          <t>CON-0003</t>
        </is>
      </c>
      <c r="B4" t="inlineStr">
        <is>
          <t>Luciana Pérez</t>
        </is>
      </c>
      <c r="C4" t="inlineStr">
        <is>
          <t>35678901</t>
        </is>
      </c>
      <c r="D4" t="inlineStr">
        <is>
          <t>Cliente</t>
        </is>
      </c>
      <c r="E4" t="inlineStr">
        <is>
          <t>+54 9 3436 55-9012</t>
        </is>
      </c>
      <c r="F4" t="inlineStr">
        <is>
          <t>lu.perez@gmail.com</t>
        </is>
      </c>
      <c r="G4" t="inlineStr">
        <is>
          <t>9 de Julio 456, Victoria, ER</t>
        </is>
      </c>
      <c r="H4" t="inlineStr">
        <is>
          <t>EXP-0003</t>
        </is>
      </c>
    </row>
    <row r="5">
      <c r="A5" t="inlineStr">
        <is>
          <t>CON-0004</t>
        </is>
      </c>
      <c r="B5" t="inlineStr">
        <is>
          <t>Ana Beatriz López</t>
        </is>
      </c>
      <c r="C5" t="inlineStr">
        <is>
          <t>24567890</t>
        </is>
      </c>
      <c r="D5" t="inlineStr">
        <is>
          <t>Cliente</t>
        </is>
      </c>
      <c r="E5" t="inlineStr">
        <is>
          <t>+54 9 343 555-3456</t>
        </is>
      </c>
      <c r="F5" t="inlineStr">
        <is>
          <t>anab.lopez@yahoo.com.ar</t>
        </is>
      </c>
      <c r="G5" t="inlineStr">
        <is>
          <t>Av. Ramírez 2130, Paraná, ER</t>
        </is>
      </c>
      <c r="H5" t="inlineStr">
        <is>
          <t>EXP-0005</t>
        </is>
      </c>
    </row>
    <row r="6">
      <c r="A6" t="inlineStr">
        <is>
          <t>CON-0005</t>
        </is>
      </c>
      <c r="B6" t="inlineStr">
        <is>
          <t>Dr. Sergio Malvasio</t>
        </is>
      </c>
      <c r="C6" t="inlineStr">
        <is>
          <t>22345678</t>
        </is>
      </c>
      <c r="D6" t="inlineStr">
        <is>
          <t>Letrado contrario</t>
        </is>
      </c>
      <c r="E6" t="inlineStr">
        <is>
          <t>+54 9 343 555-7890</t>
        </is>
      </c>
      <c r="F6" t="inlineStr">
        <is>
          <t>estudiomalvasio@gmail.com</t>
        </is>
      </c>
      <c r="G6" t="inlineStr">
        <is>
          <t>Urquiza 890, Paraná, ER</t>
        </is>
      </c>
      <c r="H6" t="inlineStr">
        <is>
          <t>EXP-0002</t>
        </is>
      </c>
    </row>
    <row r="7">
      <c r="A7" t="inlineStr">
        <is>
          <t>CON-0006</t>
        </is>
      </c>
      <c r="B7" t="inlineStr">
        <is>
          <t>Ing. Carlos Benítez (perito mecánico)</t>
        </is>
      </c>
      <c r="C7" t="inlineStr">
        <is>
          <t>20123456</t>
        </is>
      </c>
      <c r="D7" t="inlineStr">
        <is>
          <t>Perito</t>
        </is>
      </c>
      <c r="E7" t="inlineStr">
        <is>
          <t>+54 9 343 555-2468</t>
        </is>
      </c>
      <c r="F7" t="inlineStr">
        <is>
          <t>cbenitez.perito@gmail.com</t>
        </is>
      </c>
      <c r="G7" t="inlineStr">
        <is>
          <t>Paraná, ER</t>
        </is>
      </c>
      <c r="H7" t="inlineStr">
        <is>
          <t>EXP-0003</t>
        </is>
      </c>
    </row>
  </sheetData>
  <dataValidations count="1">
    <dataValidation sqref="D2:D500" showDropDown="0" showInputMessage="0" showErrorMessage="0" allowBlank="1" errorTitle="Valor inválido" error="Elegí un valor de la lista desplegable." type="list">
      <formula1>=Lst_Tipo_Contacto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26" customWidth="1" min="4" max="4"/>
    <col width="28" customWidth="1" min="5" max="5"/>
    <col width="50" customWidth="1" min="6" max="6"/>
    <col width="80" customWidth="1" min="7" max="7"/>
    <col width="13" customWidth="1" min="8" max="8"/>
    <col width="15" customWidth="1" min="9" max="9"/>
  </cols>
  <sheetData>
    <row r="1">
      <c r="A1" s="1" t="inlineStr">
        <is>
          <t>ID_Comunicacion</t>
        </is>
      </c>
      <c r="B1" s="1" t="inlineStr">
        <is>
          <t>ID_Expediente</t>
        </is>
      </c>
      <c r="C1" s="1" t="inlineStr">
        <is>
          <t>Fecha</t>
        </is>
      </c>
      <c r="D1" s="1" t="inlineStr">
        <is>
          <t>Tipo</t>
        </is>
      </c>
      <c r="E1" s="1" t="inlineStr">
        <is>
          <t>Destinatario</t>
        </is>
      </c>
      <c r="F1" s="1" t="inlineStr">
        <is>
          <t>Asunto</t>
        </is>
      </c>
      <c r="G1" s="1" t="inlineStr">
        <is>
          <t>Cuerpo_Mensaje</t>
        </is>
      </c>
      <c r="H1" s="1" t="inlineStr">
        <is>
          <t>Estado_Envio</t>
        </is>
      </c>
      <c r="I1" s="1" t="inlineStr">
        <is>
          <t>Enviado_Por_Bot</t>
        </is>
      </c>
    </row>
    <row r="2">
      <c r="A2" t="inlineStr">
        <is>
          <t>COM-0001</t>
        </is>
      </c>
      <c r="B2" t="inlineStr">
        <is>
          <t>EXP-0001</t>
        </is>
      </c>
      <c r="C2" s="2" t="n">
        <v>46204</v>
      </c>
      <c r="D2" t="inlineStr">
        <is>
          <t>Aviso de audiencia</t>
        </is>
      </c>
      <c r="E2" t="inlineStr">
        <is>
          <t>msol.centurion@gmail.com</t>
        </is>
      </c>
      <c r="F2" t="inlineStr">
        <is>
          <t>Recordatorio: audiencia de conciliación 03/07/2026 9:30 hs</t>
        </is>
      </c>
      <c r="G2" t="inlineStr">
        <is>
          <t>Estimada María Soledad: le recordamos la audiencia de conciliación fijada para mañana a las 9:30 hs en el Juzgado de Familia de Victoria. Concurrir con DNI.</t>
        </is>
      </c>
      <c r="H2" t="inlineStr">
        <is>
          <t>Enviado</t>
        </is>
      </c>
      <c r="I2" t="inlineStr">
        <is>
          <t>Sí</t>
        </is>
      </c>
    </row>
    <row r="3">
      <c r="A3" t="inlineStr">
        <is>
          <t>COM-0002</t>
        </is>
      </c>
      <c r="B3" t="inlineStr">
        <is>
          <t>EXP-0002</t>
        </is>
      </c>
      <c r="C3" s="2" t="n">
        <v>46203</v>
      </c>
      <c r="D3" t="inlineStr">
        <is>
          <t>Recordatorio de vencimiento</t>
        </is>
      </c>
      <c r="E3" t="inlineStr">
        <is>
          <t>fmjuarez@yahoo.com.ar</t>
        </is>
      </c>
      <c r="F3" t="inlineStr">
        <is>
          <t>URGENTE: vence contestación de traslado (VTO-0001)</t>
        </is>
      </c>
      <c r="G3" t="inlineStr">
        <is>
          <t>Recordatorio automático: el traslado de la liquidación en GÓMEZ c/ FRIGORÍFICO vence el 30/06/2026. Quedan menos de 3 días.</t>
        </is>
      </c>
      <c r="H3" t="inlineStr">
        <is>
          <t>Enviado</t>
        </is>
      </c>
      <c r="I3" t="inlineStr">
        <is>
          <t>Sí</t>
        </is>
      </c>
    </row>
    <row r="4">
      <c r="A4" t="inlineStr">
        <is>
          <t>COM-0003</t>
        </is>
      </c>
      <c r="B4" t="inlineStr">
        <is>
          <t>EXP-0005</t>
        </is>
      </c>
      <c r="C4" s="2" t="n">
        <v>46205</v>
      </c>
      <c r="D4" t="inlineStr">
        <is>
          <t>Informe a cliente</t>
        </is>
      </c>
      <c r="E4" t="inlineStr">
        <is>
          <t>anab.lopez@yahoo.com.ar</t>
        </is>
      </c>
      <c r="F4" t="inlineStr">
        <is>
          <t>Estado de su amparo de salud contra OSDE</t>
        </is>
      </c>
      <c r="G4" t="inlineStr">
        <is>
          <t>Estimada Ana: le informamos que OSDE apeló la sentencia. Presentaremos la contestación de agravios dentro del plazo legal. La mantendremos al tanto.</t>
        </is>
      </c>
      <c r="H4" t="inlineStr">
        <is>
          <t>Pendiente</t>
        </is>
      </c>
      <c r="I4" t="inlineStr">
        <is>
          <t>No</t>
        </is>
      </c>
    </row>
  </sheetData>
  <dataValidations count="3">
    <dataValidation sqref="D2:D500" showDropDown="0" showInputMessage="0" showErrorMessage="0" allowBlank="1" errorTitle="Valor inválido" error="Elegí un valor de la lista desplegable." type="list">
      <formula1>=Lst_Tipo_Comunicacion</formula1>
    </dataValidation>
    <dataValidation sqref="H2:H500" showDropDown="0" showInputMessage="0" showErrorMessage="0" allowBlank="1" errorTitle="Valor inválido" error="Elegí un valor de la lista desplegable." type="list">
      <formula1>=Lst_Estado_Envio</formula1>
    </dataValidation>
    <dataValidation sqref="I2:I500" showDropDown="0" showInputMessage="0" showErrorMessage="0" allowBlank="1" errorTitle="Valor inválido" error="Elegí un valor de la lista desplegable." type="list">
      <formula1>=Lst_Si_No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52" customWidth="1" min="4" max="4"/>
    <col width="12" customWidth="1" min="5" max="5"/>
    <col width="8" customWidth="1" min="6" max="6"/>
    <col width="14" customWidth="1" min="7" max="7"/>
    <col width="15" customWidth="1" min="8" max="8"/>
  </cols>
  <sheetData>
    <row r="1">
      <c r="A1" s="1" t="inlineStr">
        <is>
          <t>ID_Evento</t>
        </is>
      </c>
      <c r="B1" s="1" t="inlineStr">
        <is>
          <t>Origen</t>
        </is>
      </c>
      <c r="C1" s="1" t="inlineStr">
        <is>
          <t>ID_Origen</t>
        </is>
      </c>
      <c r="D1" s="1" t="inlineStr">
        <is>
          <t>Titulo</t>
        </is>
      </c>
      <c r="E1" s="1" t="inlineStr">
        <is>
          <t>Fecha</t>
        </is>
      </c>
      <c r="F1" s="1" t="inlineStr">
        <is>
          <t>Hora</t>
        </is>
      </c>
      <c r="G1" s="1" t="inlineStr">
        <is>
          <t>ID_Expediente</t>
        </is>
      </c>
      <c r="H1" s="1" t="inlineStr">
        <is>
          <t>Color_Sugerido</t>
        </is>
      </c>
    </row>
    <row r="2">
      <c r="A2" t="inlineStr">
        <is>
          <t>EVT-0001</t>
        </is>
      </c>
      <c r="B2" t="inlineStr">
        <is>
          <t>Vencimiento</t>
        </is>
      </c>
      <c r="C2" t="inlineStr">
        <is>
          <t>VTO-0001</t>
        </is>
      </c>
      <c r="D2" t="inlineStr">
        <is>
          <t>GÓMEZ c/ FRIGORÍFICO — Contestar traslado</t>
        </is>
      </c>
      <c r="E2" s="2" t="n">
        <v>46203</v>
      </c>
      <c r="F2" s="3" t="n"/>
      <c r="G2" t="inlineStr">
        <is>
          <t>EXP-0002</t>
        </is>
      </c>
      <c r="H2" t="inlineStr">
        <is>
          <t>Rojo</t>
        </is>
      </c>
    </row>
    <row r="3">
      <c r="A3" t="inlineStr">
        <is>
          <t>EVT-0002</t>
        </is>
      </c>
      <c r="B3" t="inlineStr">
        <is>
          <t>Vencimiento</t>
        </is>
      </c>
      <c r="C3" t="inlineStr">
        <is>
          <t>VTO-0002</t>
        </is>
      </c>
      <c r="D3" t="inlineStr">
        <is>
          <t>CENTURIÓN c/ ROMERO — Ofrecer prueba</t>
        </is>
      </c>
      <c r="E3" s="2" t="n">
        <v>46208</v>
      </c>
      <c r="F3" s="3" t="n"/>
      <c r="G3" t="inlineStr">
        <is>
          <t>EXP-0001</t>
        </is>
      </c>
      <c r="H3" t="inlineStr">
        <is>
          <t>Rojo</t>
        </is>
      </c>
    </row>
    <row r="4">
      <c r="A4" t="inlineStr">
        <is>
          <t>EVT-0003</t>
        </is>
      </c>
      <c r="B4" t="inlineStr">
        <is>
          <t>Vencimiento</t>
        </is>
      </c>
      <c r="C4" t="inlineStr">
        <is>
          <t>VTO-0003</t>
        </is>
      </c>
      <c r="D4" t="inlineStr">
        <is>
          <t>LÓPEZ c/ OSDE — Expresar agravios</t>
        </is>
      </c>
      <c r="E4" s="2" t="n">
        <v>46214</v>
      </c>
      <c r="F4" s="3" t="n"/>
      <c r="G4" t="inlineStr">
        <is>
          <t>EXP-0005</t>
        </is>
      </c>
      <c r="H4" t="inlineStr">
        <is>
          <t>Naranja</t>
        </is>
      </c>
    </row>
    <row r="5">
      <c r="A5" t="inlineStr">
        <is>
          <t>EVT-0004</t>
        </is>
      </c>
      <c r="B5" t="inlineStr">
        <is>
          <t>Audiencia</t>
        </is>
      </c>
      <c r="C5" t="inlineStr">
        <is>
          <t>AUD-0001</t>
        </is>
      </c>
      <c r="D5" t="inlineStr">
        <is>
          <t>CENTURIÓN c/ ROMERO — Conciliación</t>
        </is>
      </c>
      <c r="E5" s="2" t="n">
        <v>46206</v>
      </c>
      <c r="F5" s="3" t="n">
        <v>0.3958333333333333</v>
      </c>
      <c r="G5" t="inlineStr">
        <is>
          <t>EXP-0001</t>
        </is>
      </c>
      <c r="H5" t="inlineStr">
        <is>
          <t>Azul</t>
        </is>
      </c>
    </row>
    <row r="6">
      <c r="A6" t="inlineStr">
        <is>
          <t>EVT-0005</t>
        </is>
      </c>
      <c r="B6" t="inlineStr">
        <is>
          <t>Audiencia</t>
        </is>
      </c>
      <c r="C6" t="inlineStr">
        <is>
          <t>AUD-0003</t>
        </is>
      </c>
      <c r="D6" t="inlineStr">
        <is>
          <t>PÉREZ c/ TRANSPORTES VICTORIA — Testimonial</t>
        </is>
      </c>
      <c r="E6" s="2" t="n">
        <v>46211</v>
      </c>
      <c r="F6" s="3" t="n">
        <v>0.3645833333333333</v>
      </c>
      <c r="G6" t="inlineStr">
        <is>
          <t>EXP-0003</t>
        </is>
      </c>
      <c r="H6" t="inlineStr">
        <is>
          <t>Azul</t>
        </is>
      </c>
    </row>
    <row r="7">
      <c r="A7" t="inlineStr">
        <is>
          <t>EVT-0006</t>
        </is>
      </c>
      <c r="B7" t="inlineStr">
        <is>
          <t>Audiencia</t>
        </is>
      </c>
      <c r="C7" t="inlineStr">
        <is>
          <t>AUD-0002</t>
        </is>
      </c>
      <c r="D7" t="inlineStr">
        <is>
          <t>GÓMEZ c/ FRIGORÍFICO — Vista de causa</t>
        </is>
      </c>
      <c r="E7" s="2" t="n">
        <v>46217</v>
      </c>
      <c r="F7" s="3" t="n">
        <v>0.4166666666666667</v>
      </c>
      <c r="G7" t="inlineStr">
        <is>
          <t>EXP-0002</t>
        </is>
      </c>
      <c r="H7" t="inlineStr">
        <is>
          <t>Azul</t>
        </is>
      </c>
    </row>
    <row r="8">
      <c r="A8" t="inlineStr">
        <is>
          <t>EVT-0007</t>
        </is>
      </c>
      <c r="B8" t="inlineStr">
        <is>
          <t>Tarea</t>
        </is>
      </c>
      <c r="C8" t="inlineStr">
        <is>
          <t>TAR-0003</t>
        </is>
      </c>
      <c r="D8" t="inlineStr">
        <is>
          <t>LÓPEZ c/ OSDE — Recopilar historia clínica</t>
        </is>
      </c>
      <c r="E8" s="2" t="n">
        <v>46209</v>
      </c>
      <c r="F8" s="3" t="n"/>
      <c r="G8" t="inlineStr">
        <is>
          <t>EXP-0005</t>
        </is>
      </c>
      <c r="H8" t="inlineStr">
        <is>
          <t>Verde</t>
        </is>
      </c>
    </row>
    <row r="9">
      <c r="A9" t="inlineStr">
        <is>
          <t>EVT-0008</t>
        </is>
      </c>
      <c r="B9" t="inlineStr">
        <is>
          <t>Tarea</t>
        </is>
      </c>
      <c r="C9" t="inlineStr">
        <is>
          <t>TAR-0001</t>
        </is>
      </c>
      <c r="D9" t="inlineStr">
        <is>
          <t>SUC. FERNÁNDEZ — Partida de defunción</t>
        </is>
      </c>
      <c r="E9" s="2" t="n">
        <v>46215</v>
      </c>
      <c r="F9" s="3" t="n"/>
      <c r="G9" t="inlineStr">
        <is>
          <t>EXP-0004</t>
        </is>
      </c>
      <c r="H9" t="inlineStr">
        <is>
          <t>Verde</t>
        </is>
      </c>
    </row>
  </sheetData>
  <dataValidations count="1">
    <dataValidation sqref="B2:B500" showDropDown="0" showInputMessage="0" showErrorMessage="0" allowBlank="1" errorTitle="Valor inválido" error="Elegí un valor de la lista desplegable." type="list">
      <formula1>=Lst_Origen_Evento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1" customWidth="1" min="2" max="2"/>
    <col width="12" customWidth="1" min="3" max="3"/>
    <col width="20" customWidth="1" min="4" max="4"/>
    <col width="14" customWidth="1" min="5" max="5"/>
    <col width="25" customWidth="1" min="6" max="6"/>
    <col width="15" customWidth="1" min="7" max="7"/>
    <col width="25" customWidth="1" min="8" max="8"/>
    <col width="21" customWidth="1" min="9" max="9"/>
    <col width="21" customWidth="1" min="10" max="10"/>
    <col width="21" customWidth="1" min="11" max="11"/>
    <col width="12" customWidth="1" min="12" max="12"/>
    <col width="27" customWidth="1" min="13" max="13"/>
    <col width="13" customWidth="1" min="14" max="14"/>
    <col width="19" customWidth="1" min="15" max="15"/>
    <col width="15" customWidth="1" min="16" max="16"/>
    <col width="21" customWidth="1" min="17" max="17"/>
    <col width="20" customWidth="1" min="18" max="18"/>
    <col width="30" customWidth="1" min="19" max="19"/>
    <col width="15" customWidth="1" min="20" max="20"/>
    <col width="8" customWidth="1" min="21" max="21"/>
    <col width="16" customWidth="1" min="22" max="22"/>
  </cols>
  <sheetData>
    <row r="1">
      <c r="A1" s="4" t="inlineStr">
        <is>
          <t>Fuero</t>
        </is>
      </c>
      <c r="B1" s="4" t="inlineStr">
        <is>
          <t>Juzgado</t>
        </is>
      </c>
      <c r="C1" s="4" t="inlineStr">
        <is>
          <t>Localidad</t>
        </is>
      </c>
      <c r="D1" s="4" t="inlineStr">
        <is>
          <t>Instancia</t>
        </is>
      </c>
      <c r="E1" s="4" t="inlineStr">
        <is>
          <t>Rol_Cliente</t>
        </is>
      </c>
      <c r="F1" s="4" t="inlineStr">
        <is>
          <t>Estado_Procesal</t>
        </is>
      </c>
      <c r="G1" s="4" t="inlineStr">
        <is>
          <t>Estado_Causa</t>
        </is>
      </c>
      <c r="H1" s="4" t="inlineStr">
        <is>
          <t>Abogado</t>
        </is>
      </c>
      <c r="I1" s="4" t="inlineStr">
        <is>
          <t>Honorarios_Estado</t>
        </is>
      </c>
      <c r="J1" s="4" t="inlineStr">
        <is>
          <t>Tipo_Vencimiento</t>
        </is>
      </c>
      <c r="K1" s="4" t="inlineStr">
        <is>
          <t>Estado_Vencimiento</t>
        </is>
      </c>
      <c r="L1" s="4" t="inlineStr">
        <is>
          <t>Prioridad</t>
        </is>
      </c>
      <c r="M1" s="4" t="inlineStr">
        <is>
          <t>Tipo_Audiencia</t>
        </is>
      </c>
      <c r="N1" s="4" t="inlineStr">
        <is>
          <t>Modalidad</t>
        </is>
      </c>
      <c r="O1" s="4" t="inlineStr">
        <is>
          <t>Estado_Audiencia</t>
        </is>
      </c>
      <c r="P1" s="4" t="inlineStr">
        <is>
          <t>Estado_Tarea</t>
        </is>
      </c>
      <c r="Q1" s="4" t="inlineStr">
        <is>
          <t>Tipo_Movimiento</t>
        </is>
      </c>
      <c r="R1" s="4" t="inlineStr">
        <is>
          <t>Tipo_Contacto</t>
        </is>
      </c>
      <c r="S1" s="4" t="inlineStr">
        <is>
          <t>Tipo_Comunicacion</t>
        </is>
      </c>
      <c r="T1" s="4" t="inlineStr">
        <is>
          <t>Estado_Envio</t>
        </is>
      </c>
      <c r="U1" s="4" t="inlineStr">
        <is>
          <t>Si_No</t>
        </is>
      </c>
      <c r="V1" s="4" t="inlineStr">
        <is>
          <t>Origen_Evento</t>
        </is>
      </c>
    </row>
    <row r="2">
      <c r="A2" t="inlineStr">
        <is>
          <t>Familia</t>
        </is>
      </c>
      <c r="B2" t="inlineStr">
        <is>
          <t>Juzgado de Familia Victoria - Dr. Lloveras</t>
        </is>
      </c>
      <c r="C2" t="inlineStr">
        <is>
          <t>Victoria</t>
        </is>
      </c>
      <c r="D2" t="inlineStr">
        <is>
          <t>Primera Instancia</t>
        </is>
      </c>
      <c r="E2" t="inlineStr">
        <is>
          <t>Actor</t>
        </is>
      </c>
      <c r="F2" t="inlineStr">
        <is>
          <t>Inicio</t>
        </is>
      </c>
      <c r="G2" t="inlineStr">
        <is>
          <t>Activa</t>
        </is>
      </c>
      <c r="H2" t="inlineStr">
        <is>
          <t>Fernando Martín Juárez</t>
        </is>
      </c>
      <c r="I2" t="inlineStr">
        <is>
          <t>Pactado</t>
        </is>
      </c>
      <c r="J2" t="inlineStr">
        <is>
          <t>Contestar demanda</t>
        </is>
      </c>
      <c r="K2" t="inlineStr">
        <is>
          <t>Pendiente</t>
        </is>
      </c>
      <c r="L2" t="inlineStr">
        <is>
          <t>Alta</t>
        </is>
      </c>
      <c r="M2" t="inlineStr">
        <is>
          <t>Conciliación</t>
        </is>
      </c>
      <c r="N2" t="inlineStr">
        <is>
          <t>Presencial</t>
        </is>
      </c>
      <c r="O2" t="inlineStr">
        <is>
          <t>Programada</t>
        </is>
      </c>
      <c r="P2" t="inlineStr">
        <is>
          <t>Pendiente</t>
        </is>
      </c>
      <c r="Q2" t="inlineStr">
        <is>
          <t>Escrito presentado</t>
        </is>
      </c>
      <c r="R2" t="inlineStr">
        <is>
          <t>Cliente</t>
        </is>
      </c>
      <c r="S2" t="inlineStr">
        <is>
          <t>Recordatorio de vencimiento</t>
        </is>
      </c>
      <c r="T2" t="inlineStr">
        <is>
          <t>Pendiente</t>
        </is>
      </c>
      <c r="U2" t="inlineStr">
        <is>
          <t>Sí</t>
        </is>
      </c>
      <c r="V2" t="inlineStr">
        <is>
          <t>Vencimiento</t>
        </is>
      </c>
    </row>
    <row r="3">
      <c r="A3" t="inlineStr">
        <is>
          <t>Laboral</t>
        </is>
      </c>
      <c r="B3" t="inlineStr">
        <is>
          <t>Juzgado Civil y Comercial Victoria - Dr. Márquez</t>
        </is>
      </c>
      <c r="C3" t="inlineStr">
        <is>
          <t>Paraná</t>
        </is>
      </c>
      <c r="D3" t="inlineStr">
        <is>
          <t>Cámara</t>
        </is>
      </c>
      <c r="E3" t="inlineStr">
        <is>
          <t>Demandado</t>
        </is>
      </c>
      <c r="F3" t="inlineStr">
        <is>
          <t>Contestación</t>
        </is>
      </c>
      <c r="G3" t="inlineStr">
        <is>
          <t>Paralizada</t>
        </is>
      </c>
      <c r="H3" t="inlineStr">
        <is>
          <t>Socio</t>
        </is>
      </c>
      <c r="I3" t="inlineStr">
        <is>
          <t>Cuota Litis</t>
        </is>
      </c>
      <c r="J3" t="inlineStr">
        <is>
          <t>Ofrecer prueba</t>
        </is>
      </c>
      <c r="K3" t="inlineStr">
        <is>
          <t>Cumplido</t>
        </is>
      </c>
      <c r="L3" t="inlineStr">
        <is>
          <t>Media</t>
        </is>
      </c>
      <c r="M3" t="inlineStr">
        <is>
          <t>Vista de causa</t>
        </is>
      </c>
      <c r="N3" t="inlineStr">
        <is>
          <t>Virtual</t>
        </is>
      </c>
      <c r="O3" t="inlineStr">
        <is>
          <t>Realizada</t>
        </is>
      </c>
      <c r="P3" t="inlineStr">
        <is>
          <t>En curso</t>
        </is>
      </c>
      <c r="Q3" t="inlineStr">
        <is>
          <t>Providencia</t>
        </is>
      </c>
      <c r="R3" t="inlineStr">
        <is>
          <t>Parte contraria</t>
        </is>
      </c>
      <c r="S3" t="inlineStr">
        <is>
          <t>Aviso de audiencia</t>
        </is>
      </c>
      <c r="T3" t="inlineStr">
        <is>
          <t>Enviado</t>
        </is>
      </c>
      <c r="U3" t="inlineStr">
        <is>
          <t>No</t>
        </is>
      </c>
      <c r="V3" t="inlineStr">
        <is>
          <t>Audiencia</t>
        </is>
      </c>
    </row>
    <row r="4">
      <c r="A4" t="inlineStr">
        <is>
          <t>Civil-Daños</t>
        </is>
      </c>
      <c r="B4" t="inlineStr">
        <is>
          <t>Cámara Civil y Comercial Sala 3 Paraná</t>
        </is>
      </c>
      <c r="C4" t="inlineStr">
        <is>
          <t>Otra</t>
        </is>
      </c>
      <c r="E4" t="inlineStr">
        <is>
          <t>Tercero</t>
        </is>
      </c>
      <c r="F4" t="inlineStr">
        <is>
          <t>Prueba</t>
        </is>
      </c>
      <c r="G4" t="inlineStr">
        <is>
          <t>Archivada</t>
        </is>
      </c>
      <c r="H4" t="inlineStr">
        <is>
          <t>Otro</t>
        </is>
      </c>
      <c r="I4" t="inlineStr">
        <is>
          <t>Pendiente de cobro</t>
        </is>
      </c>
      <c r="J4" t="inlineStr">
        <is>
          <t>Alegar</t>
        </is>
      </c>
      <c r="K4" t="inlineStr">
        <is>
          <t>Vencido</t>
        </is>
      </c>
      <c r="L4" t="inlineStr">
        <is>
          <t>Baja</t>
        </is>
      </c>
      <c r="M4" t="inlineStr">
        <is>
          <t>Testimonial</t>
        </is>
      </c>
      <c r="O4" t="inlineStr">
        <is>
          <t>Suspendida</t>
        </is>
      </c>
      <c r="P4" t="inlineStr">
        <is>
          <t>Completada</t>
        </is>
      </c>
      <c r="Q4" t="inlineStr">
        <is>
          <t>Cédula</t>
        </is>
      </c>
      <c r="R4" t="inlineStr">
        <is>
          <t>Perito</t>
        </is>
      </c>
      <c r="S4" t="inlineStr">
        <is>
          <t>Informe a cliente</t>
        </is>
      </c>
      <c r="T4" t="inlineStr">
        <is>
          <t>Error</t>
        </is>
      </c>
      <c r="V4" t="inlineStr">
        <is>
          <t>Tarea</t>
        </is>
      </c>
    </row>
    <row r="5">
      <c r="A5" t="inlineStr">
        <is>
          <t>Sucesiones</t>
        </is>
      </c>
      <c r="B5" t="inlineStr">
        <is>
          <t>Secretaría de Trabajo ER</t>
        </is>
      </c>
      <c r="F5" t="inlineStr">
        <is>
          <t>Alegatos</t>
        </is>
      </c>
      <c r="G5" t="inlineStr">
        <is>
          <t>Finalizada</t>
        </is>
      </c>
      <c r="J5" t="inlineStr">
        <is>
          <t>Apelar</t>
        </is>
      </c>
      <c r="M5" t="inlineStr">
        <is>
          <t>Absolución de posiciones</t>
        </is>
      </c>
      <c r="O5" t="inlineStr">
        <is>
          <t>Reprogramada</t>
        </is>
      </c>
      <c r="Q5" t="inlineStr">
        <is>
          <t>Oficio</t>
        </is>
      </c>
      <c r="R5" t="inlineStr">
        <is>
          <t>Testigo</t>
        </is>
      </c>
      <c r="S5" t="inlineStr">
        <is>
          <t>Notificación interna</t>
        </is>
      </c>
    </row>
    <row r="6">
      <c r="A6" t="inlineStr">
        <is>
          <t>Salud</t>
        </is>
      </c>
      <c r="B6" t="inlineStr">
        <is>
          <t>Otro</t>
        </is>
      </c>
      <c r="F6" t="inlineStr">
        <is>
          <t>Sentencia</t>
        </is>
      </c>
      <c r="J6" t="inlineStr">
        <is>
          <t>Expresar agravios</t>
        </is>
      </c>
      <c r="M6" t="inlineStr">
        <is>
          <t>Mediación</t>
        </is>
      </c>
      <c r="Q6" t="inlineStr">
        <is>
          <t>Resolución</t>
        </is>
      </c>
      <c r="R6" t="inlineStr">
        <is>
          <t>Letrado contrario</t>
        </is>
      </c>
    </row>
    <row r="7">
      <c r="F7" t="inlineStr">
        <is>
          <t>Apelación</t>
        </is>
      </c>
      <c r="J7" t="inlineStr">
        <is>
          <t>Contestar traslado</t>
        </is>
      </c>
      <c r="M7" t="inlineStr">
        <is>
          <t>Otra</t>
        </is>
      </c>
      <c r="Q7" t="inlineStr">
        <is>
          <t>Sentencia</t>
        </is>
      </c>
      <c r="R7" t="inlineStr">
        <is>
          <t>Juzgado-Personal</t>
        </is>
      </c>
    </row>
    <row r="8">
      <c r="F8" t="inlineStr">
        <is>
          <t>Ejecución de sentencia</t>
        </is>
      </c>
      <c r="J8" t="inlineStr">
        <is>
          <t>Cumplir intimación</t>
        </is>
      </c>
    </row>
    <row r="9">
      <c r="F9" t="inlineStr">
        <is>
          <t>Archivado</t>
        </is>
      </c>
      <c r="J9" t="inlineStr">
        <is>
          <t>Otro</t>
        </is>
      </c>
    </row>
    <row r="12">
      <c r="A12" s="5" t="inlineStr">
        <is>
          <t>PARÁMETROS GENERALES</t>
        </is>
      </c>
    </row>
    <row r="13">
      <c r="A13" s="6" t="inlineStr">
        <is>
          <t>Dias_Recordatorio_Default</t>
        </is>
      </c>
      <c r="B13" t="n">
        <v>3</v>
      </c>
    </row>
    <row r="14">
      <c r="A14" s="6" t="inlineStr">
        <is>
          <t>Email_Estudio</t>
        </is>
      </c>
      <c r="B14" t="inlineStr">
        <is>
          <t>fmjuarez@yahoo.com.ar</t>
        </is>
      </c>
    </row>
    <row r="15">
      <c r="A15" s="6" t="inlineStr">
        <is>
          <t>Firma_Mails</t>
        </is>
      </c>
      <c r="B15" t="inlineStr">
        <is>
          <t>Estudio Jurídico Juárez — Victoria, Entre Ríos. Este es un mensaje automático de recordatorio; no responder a este correo.</t>
        </is>
      </c>
    </row>
    <row r="16">
      <c r="A16" s="6" t="inlineStr">
        <is>
          <t>Hora_Envio_Recordatorios</t>
        </is>
      </c>
      <c r="B16" t="inlineStr">
        <is>
          <t>08:00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6" t="inlineStr">
        <is>
          <t>NOTAS TÉCNICAS PARA CONFIGURAR LA APP EN APPSHEET</t>
        </is>
      </c>
    </row>
    <row r="2">
      <c r="A2" s="6">
        <f>=================================================</f>
        <v/>
      </c>
    </row>
    <row r="3">
      <c r="A3" t="inlineStr"/>
    </row>
    <row r="4">
      <c r="A4" s="6" t="inlineStr">
        <is>
          <t>1) COLUMNAS KEY (clave) POR TABLA</t>
        </is>
      </c>
    </row>
    <row r="5">
      <c r="A5" t="inlineStr">
        <is>
          <t xml:space="preserve">   - tbl_Expedientes      -&gt; ID_Expediente</t>
        </is>
      </c>
    </row>
    <row r="6">
      <c r="A6" t="inlineStr">
        <is>
          <t xml:space="preserve">   - tbl_Vencimientos     -&gt; ID_Vencimiento</t>
        </is>
      </c>
    </row>
    <row r="7">
      <c r="A7" t="inlineStr">
        <is>
          <t xml:space="preserve">   - tbl_Audiencias       -&gt; ID_Audiencia</t>
        </is>
      </c>
    </row>
    <row r="8">
      <c r="A8" t="inlineStr">
        <is>
          <t xml:space="preserve">   - tbl_Tareas           -&gt; ID_Tarea</t>
        </is>
      </c>
    </row>
    <row r="9">
      <c r="A9" t="inlineStr">
        <is>
          <t xml:space="preserve">   - tbl_Actuaciones      -&gt; ID_Movimiento</t>
        </is>
      </c>
    </row>
    <row r="10">
      <c r="A10" t="inlineStr">
        <is>
          <t xml:space="preserve">   - tbl_Contactos        -&gt; ID_Contacto</t>
        </is>
      </c>
    </row>
    <row r="11">
      <c r="A11" t="inlineStr">
        <is>
          <t xml:space="preserve">   - tbl_Comunicaciones   -&gt; ID_Comunicacion</t>
        </is>
      </c>
    </row>
    <row r="12">
      <c r="A12" t="inlineStr">
        <is>
          <t xml:space="preserve">   - tbl_Calendario       -&gt; ID_Evento</t>
        </is>
      </c>
    </row>
    <row r="13">
      <c r="A13" t="inlineStr">
        <is>
          <t xml:space="preserve">   Sugerencia: en cada tabla, poné como Initial Value de la key:</t>
        </is>
      </c>
    </row>
    <row r="14">
      <c r="A14" t="inlineStr">
        <is>
          <t xml:space="preserve">   CONCATENATE("VTO-", RIGHT("0000"&amp;(COUNT(Vencimientos[ID_Vencimiento])+1), 4))</t>
        </is>
      </c>
    </row>
    <row r="15">
      <c r="A15" t="inlineStr">
        <is>
          <t xml:space="preserve">   o usá UNIQUEID() si preferís claves automáticas.</t>
        </is>
      </c>
    </row>
    <row r="16">
      <c r="A16" t="inlineStr"/>
    </row>
    <row r="17">
      <c r="A17" s="6" t="inlineStr">
        <is>
          <t>2) COLUMNAS REF (relaciones)</t>
        </is>
      </c>
    </row>
    <row r="18">
      <c r="A18" t="inlineStr">
        <is>
          <t xml:space="preserve">   - Vencimientos.ID_Expediente            -&gt; Ref a Expedientes (Is a part of: ON)</t>
        </is>
      </c>
    </row>
    <row r="19">
      <c r="A19" t="inlineStr">
        <is>
          <t xml:space="preserve">   - Audiencias.ID_Expediente              -&gt; Ref a Expedientes (Is a part of: ON)</t>
        </is>
      </c>
    </row>
    <row r="20">
      <c r="A20" t="inlineStr">
        <is>
          <t xml:space="preserve">   - Tareas.ID_Expediente                  -&gt; Ref a Expedientes (permitir blanco: tareas generales)</t>
        </is>
      </c>
    </row>
    <row r="21">
      <c r="A21" t="inlineStr">
        <is>
          <t xml:space="preserve">   - Actuaciones_Movimientos.ID_Expediente -&gt; Ref a Expedientes (Is a part of: ON)</t>
        </is>
      </c>
    </row>
    <row r="22">
      <c r="A22" t="inlineStr">
        <is>
          <t xml:space="preserve">   - Contactos.ID_Expediente_Relacionado   -&gt; Ref a Expedientes</t>
        </is>
      </c>
    </row>
    <row r="23">
      <c r="A23" t="inlineStr">
        <is>
          <t xml:space="preserve">   - Comunicaciones_Mails.ID_Expediente    -&gt; Ref a Expedientes</t>
        </is>
      </c>
    </row>
    <row r="24">
      <c r="A24" t="inlineStr">
        <is>
          <t xml:space="preserve">   - Comunicaciones_Mails.Destinatario     -&gt; puede quedar como Email o convertirse en Ref a Contactos</t>
        </is>
      </c>
    </row>
    <row r="25">
      <c r="A25" t="inlineStr">
        <is>
          <t xml:space="preserve">   - Calendario_Vista.ID_Expediente        -&gt; Ref a Expedientes</t>
        </is>
      </c>
    </row>
    <row r="26">
      <c r="A26" t="inlineStr">
        <is>
          <t xml:space="preserve">   AppSheet creará automáticamente las columnas inversas Related Vencimientos,</t>
        </is>
      </c>
    </row>
    <row r="27">
      <c r="A27" t="inlineStr">
        <is>
          <t xml:space="preserve">   Related Audiencias, etc. en Expedientes: usalas en la vista Detail del expediente.</t>
        </is>
      </c>
    </row>
    <row r="28">
      <c r="A28" t="inlineStr"/>
    </row>
    <row r="29">
      <c r="A29" s="6" t="inlineStr">
        <is>
          <t>3) COLUMNAS ENUM (Valid If)</t>
        </is>
      </c>
    </row>
    <row r="30">
      <c r="A30" t="inlineStr">
        <is>
          <t xml:space="preserve">   Usar la hoja Configuracion como origen, p. ej. Valid If de Fuero:</t>
        </is>
      </c>
    </row>
    <row r="31">
      <c r="A31" t="inlineStr">
        <is>
          <t xml:space="preserve">   Configuracion[Fuero]  — o copiar los valores como Enum fijo en la columna.</t>
        </is>
      </c>
    </row>
    <row r="32">
      <c r="A32" t="inlineStr">
        <is>
          <t xml:space="preserve">   Columnas: Fuero, Juzgado, Localidad, Instancia, Rol_Cliente, Estado_Procesal,</t>
        </is>
      </c>
    </row>
    <row r="33">
      <c r="A33" t="inlineStr">
        <is>
          <t xml:space="preserve">   Estado_Causa, Abogado_Responsable, Honorarios_Estado, Tipo_Vencimiento,</t>
        </is>
      </c>
    </row>
    <row r="34">
      <c r="A34" t="inlineStr">
        <is>
          <t xml:space="preserve">   Estado (Vencimientos/Tareas/Audiencias), Prioridad, Tipo_Audiencia, Modalidad,</t>
        </is>
      </c>
    </row>
    <row r="35">
      <c r="A35" t="inlineStr">
        <is>
          <t xml:space="preserve">   Tipo (Actuaciones/Contactos/Comunicaciones), Estado_Envio, Enviado_Por_Bot.</t>
        </is>
      </c>
    </row>
    <row r="36">
      <c r="A36" t="inlineStr">
        <is>
          <t xml:space="preserve">   Actuaciones_Movimientos.Archivo_Adjunto -&gt; tipo File.</t>
        </is>
      </c>
    </row>
    <row r="37">
      <c r="A37" t="inlineStr"/>
    </row>
    <row r="38">
      <c r="A38" s="6" t="inlineStr">
        <is>
          <t>4) VIRTUAL COLUMNS SUGERIDAS</t>
        </is>
      </c>
    </row>
    <row r="39">
      <c r="A39" t="inlineStr">
        <is>
          <t xml:space="preserve">   En Vencimientos:</t>
        </is>
      </c>
    </row>
    <row r="40">
      <c r="A40" t="inlineStr">
        <is>
          <t xml:space="preserve">   - Dias_Restantes (Number):  HOUR([Fecha_Vencimiento] - TODAY()) / 24</t>
        </is>
      </c>
    </row>
    <row r="41">
      <c r="A41" t="inlineStr">
        <is>
          <t xml:space="preserve">   - Semaforo_Vencimiento (Text):</t>
        </is>
      </c>
    </row>
    <row r="42">
      <c r="A42" t="inlineStr">
        <is>
          <t xml:space="preserve">     IFS([Estado]="Cumplido","🟢",</t>
        </is>
      </c>
    </row>
    <row r="43">
      <c r="A43" t="inlineStr">
        <is>
          <t xml:space="preserve">         [Fecha_Vencimiento]&lt;TODAY(),"🔴",</t>
        </is>
      </c>
    </row>
    <row r="44">
      <c r="A44" t="inlineStr">
        <is>
          <t xml:space="preserve">         [Fecha_Vencimiento]&lt;=TODAY()+5,"🟡",</t>
        </is>
      </c>
    </row>
    <row r="45">
      <c r="A45" t="inlineStr">
        <is>
          <t xml:space="preserve">         TRUE,"⚪")</t>
        </is>
      </c>
    </row>
    <row r="46">
      <c r="A46" t="inlineStr">
        <is>
          <t xml:space="preserve">   En Audiencias:</t>
        </is>
      </c>
    </row>
    <row r="47">
      <c r="A47" t="inlineStr">
        <is>
          <t xml:space="preserve">   - Es_Manana (Yes/No): [Fecha] = TODAY()+1</t>
        </is>
      </c>
    </row>
    <row r="48">
      <c r="A48" t="inlineStr">
        <is>
          <t xml:space="preserve">   En Expedientes:</t>
        </is>
      </c>
    </row>
    <row r="49">
      <c r="A49" t="inlineStr">
        <is>
          <t xml:space="preserve">   - Vencimientos_Pendientes_Count:</t>
        </is>
      </c>
    </row>
    <row r="50">
      <c r="A50" t="inlineStr">
        <is>
          <t xml:space="preserve">     COUNT(SELECT([Related Vencimientos][ID_Vencimiento], [Estado]="Pendiente"))</t>
        </is>
      </c>
    </row>
    <row r="51">
      <c r="A51" t="inlineStr"/>
    </row>
    <row r="52">
      <c r="A52" s="6" t="inlineStr">
        <is>
          <t>5) SLICES SUGERIDAS</t>
        </is>
      </c>
    </row>
    <row r="53">
      <c r="A53" t="inlineStr">
        <is>
          <t xml:space="preserve">   - Vencimientos_Pendientes:      [Estado]="Pendiente"</t>
        </is>
      </c>
    </row>
    <row r="54">
      <c r="A54" t="inlineStr">
        <is>
          <t xml:space="preserve">   - Vencimientos_Urgentes:        AND([Estado]="Pendiente", [Fecha_Vencimiento]&lt;=TODAY()+5)</t>
        </is>
      </c>
    </row>
    <row r="55">
      <c r="A55" t="inlineStr">
        <is>
          <t xml:space="preserve">   - Audiencias_Proximas_7_dias:   AND([Estado]="Programada", [Fecha]&gt;=TODAY(), [Fecha]&lt;=TODAY()+7)</t>
        </is>
      </c>
    </row>
    <row r="56">
      <c r="A56" t="inlineStr">
        <is>
          <t xml:space="preserve">   - Tareas_Abiertas:              [Estado]&lt;&gt;"Completada"</t>
        </is>
      </c>
    </row>
    <row r="57">
      <c r="A57" t="inlineStr">
        <is>
          <t xml:space="preserve">   - Expedientes_Activos:          [Estado_Causa]="Activa"</t>
        </is>
      </c>
    </row>
    <row r="58">
      <c r="A58" t="inlineStr"/>
    </row>
    <row r="59">
      <c r="A59" s="6" t="inlineStr">
        <is>
          <t>6) BOTS (Automation)</t>
        </is>
      </c>
    </row>
    <row r="60">
      <c r="A60" t="inlineStr">
        <is>
          <t xml:space="preserve">   BOT 1 — Sincronizar con Google Calendar:</t>
        </is>
      </c>
    </row>
    <row r="61">
      <c r="A61" t="inlineStr">
        <is>
          <t xml:space="preserve">     Evento: Data change (Adds &amp; updates) en Vencimientos y en Audiencias.</t>
        </is>
      </c>
    </row>
    <row r="62">
      <c r="A62" t="inlineStr">
        <is>
          <t xml:space="preserve">     Proceso: step "Call a task" &gt; Google Calendar &gt; Create/Update event.</t>
        </is>
      </c>
    </row>
    <row r="63">
      <c r="A63" t="inlineStr">
        <is>
          <t xml:space="preserve">     Título: [ID_Expediente].[Caratula] &amp; " — " &amp; [Tipo_Vencimiento] (o Tipo_Audiencia).</t>
        </is>
      </c>
    </row>
    <row r="64">
      <c r="A64" t="inlineStr">
        <is>
          <t xml:space="preserve">     Requiere conectar la cuenta de Google Calendar como fuente de datos en AppSheet</t>
        </is>
      </c>
    </row>
    <row r="65">
      <c r="A65" t="inlineStr">
        <is>
          <t xml:space="preserve">     (Data &gt; Add new Data &gt; Google Calendar) y usar "Add a row to another table".</t>
        </is>
      </c>
    </row>
    <row r="66">
      <c r="A66" t="inlineStr">
        <is>
          <t xml:space="preserve">   BOT 2 — Recordatorio diario de vencimientos (8:00):</t>
        </is>
      </c>
    </row>
    <row r="67">
      <c r="A67" t="inlineStr">
        <is>
          <t xml:space="preserve">     Evento: Schedule, todos los días 8:00, tabla Vencimientos, ForEachRowInTable ON.</t>
        </is>
      </c>
    </row>
    <row r="68">
      <c r="A68" t="inlineStr">
        <is>
          <t xml:space="preserve">     Condición: AND([Estado]="Pendiente", [Dias_Restantes]&lt;=[Dias_Recordatorio_Previo])</t>
        </is>
      </c>
    </row>
    <row r="69">
      <c r="A69" t="inlineStr">
        <is>
          <t xml:space="preserve">     Paso 1: Send an email (Gmail) al Responsable / Email_Estudio con caratula,</t>
        </is>
      </c>
    </row>
    <row r="70">
      <c r="A70" t="inlineStr">
        <is>
          <t xml:space="preserve">             tipo y fecha de vencimiento.</t>
        </is>
      </c>
    </row>
    <row r="71">
      <c r="A71" t="inlineStr">
        <is>
          <t xml:space="preserve">     Paso 2: Add a new row a Comunicaciones_Mails registrando el envío</t>
        </is>
      </c>
    </row>
    <row r="72">
      <c r="A72" t="inlineStr">
        <is>
          <t xml:space="preserve">             (Tipo="Recordatorio de vencimiento", Enviado_Por_Bot="Sí").</t>
        </is>
      </c>
    </row>
    <row r="73">
      <c r="A73" t="inlineStr">
        <is>
          <t xml:space="preserve">   BOT 3 — Aviso de audiencias del día siguiente:</t>
        </is>
      </c>
    </row>
    <row r="74">
      <c r="A74" t="inlineStr">
        <is>
          <t xml:space="preserve">     Evento: Schedule diario (p. ej. 18:00), tabla Audiencias.</t>
        </is>
      </c>
    </row>
    <row r="75">
      <c r="A75" t="inlineStr">
        <is>
          <t xml:space="preserve">     Condición: AND([Estado]="Programada", [Fecha]=TODAY()+1)</t>
        </is>
      </c>
    </row>
    <row r="76">
      <c r="A76" t="inlineStr">
        <is>
          <t xml:space="preserve">     Acción: mail al cliente (Ref a Contactos) y al abogado + registro en</t>
        </is>
      </c>
    </row>
    <row r="77">
      <c r="A77" t="inlineStr">
        <is>
          <t xml:space="preserve">             Comunicaciones_Mails (Tipo="Aviso de audiencia").</t>
        </is>
      </c>
    </row>
    <row r="78">
      <c r="A78" t="inlineStr"/>
    </row>
    <row r="79">
      <c r="A79" s="6" t="inlineStr">
        <is>
          <t>7) VISTA CALENDARIO</t>
        </is>
      </c>
    </row>
    <row r="80">
      <c r="A80" t="inlineStr">
        <is>
          <t xml:space="preserve">   - Crear una vista tipo Calendar sobre la tabla Calendario_Vista</t>
        </is>
      </c>
    </row>
    <row r="81">
      <c r="A81" t="inlineStr">
        <is>
          <t xml:space="preserve">     (Start: Fecha, End: Fecha, Category/Color: Origen o Color_Sugerido).</t>
        </is>
      </c>
    </row>
    <row r="82">
      <c r="A82" t="inlineStr">
        <is>
          <t xml:space="preserve">   - Alternativa recomendada para evitar duplicar datos: en lugar de la hoja física,</t>
        </is>
      </c>
    </row>
    <row r="83">
      <c r="A83" t="inlineStr">
        <is>
          <t xml:space="preserve">     crear TRES vistas Calendar (Vencimientos, Audiencias, Tareas) o mantener</t>
        </is>
      </c>
    </row>
    <row r="84">
      <c r="A84" t="inlineStr">
        <is>
          <t xml:space="preserve">     Calendario_Vista alimentada por el Bot 1 cada vez que se crea un evento.</t>
        </is>
      </c>
    </row>
    <row r="85">
      <c r="A85" t="inlineStr">
        <is>
          <t xml:space="preserve">   - Agrupar/colorear por Origen: Vencimiento=Rojo, Audiencia=Azul, Tarea=Verde.</t>
        </is>
      </c>
    </row>
    <row r="86">
      <c r="A86" t="inlineStr"/>
    </row>
    <row r="87">
      <c r="A87" s="6" t="inlineStr">
        <is>
          <t>8) ORDEN SUGERIDO DE CONFIGURACIÓN</t>
        </is>
      </c>
    </row>
    <row r="88">
      <c r="A88" t="inlineStr">
        <is>
          <t xml:space="preserve">   1. Subir este Excel a Google Drive y crear la app desde AppSheet (Start with your data).</t>
        </is>
      </c>
    </row>
    <row r="89">
      <c r="A89" t="inlineStr">
        <is>
          <t xml:space="preserve">   2. Verificar que AppSheet detecte las 8 tablas (Configuracion y esta hoja NO se agregan como tablas).</t>
        </is>
      </c>
    </row>
    <row r="90">
      <c r="A90" t="inlineStr">
        <is>
          <t xml:space="preserve">   3. Configurar Keys, Refs y Enums (puntos 1-3).</t>
        </is>
      </c>
    </row>
    <row r="91">
      <c r="A91" t="inlineStr">
        <is>
          <t xml:space="preserve">   4. Crear Virtual Columns y Slices (puntos 4-5).</t>
        </is>
      </c>
    </row>
    <row r="92">
      <c r="A92" t="inlineStr">
        <is>
          <t xml:space="preserve">   5. Crear las vistas (Deck de Expedientes, Calendar, Detail con Related).</t>
        </is>
      </c>
    </row>
    <row r="93">
      <c r="A93" t="inlineStr">
        <is>
          <t xml:space="preserve">   6. Configurar los Bots (punto 6) conectando Gmail y Google Calendar.</t>
        </is>
      </c>
    </row>
    <row r="94">
      <c r="A94" t="inlineStr">
        <is>
          <t xml:space="preserve">   7. Probar con los datos de ejemplo y después borrarlos.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2026-07-02T10:38:03Z</dcterms:created>
  <dcterms:modified xsi:type="dcterms:W3CDTF">2026-07-02T10:38:03Z</dcterms:modified>
</cp:coreProperties>
</file>